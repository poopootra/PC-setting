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h36264\Documents\02 Tools &amp; codes\PowerPoint\Copy comment to deck\"/>
    </mc:Choice>
  </mc:AlternateContent>
  <xr:revisionPtr revIDLastSave="0" documentId="13_ncr:1_{C1B97623-2489-4D83-9E90-44A93DA75D97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control" sheetId="2" r:id="rId1"/>
    <sheet name="comment" sheetId="1" r:id="rId2"/>
  </sheets>
  <definedNames>
    <definedName name="_xlpm.a" hidden="1" xlm="1">#NAME?</definedName>
    <definedName name="_xlpm.b" hidden="1" xlm="1">#NAME?</definedName>
    <definedName name="_xlpm.cnt" hidden="1" xlm="1">#NAME?</definedName>
    <definedName name="_xlpm.new" hidden="1" xlm="1">#NAME?</definedName>
    <definedName name="_xlpm.old" hidden="1" xlm="1">#NAME?</definedName>
    <definedName name="_xlpm.orig" hidden="1" xlm="1">#NAME?</definedName>
    <definedName name="_xlpm.rpl" hidden="1" xlm="1">#NAME?</definedName>
    <definedName name="_xlpm.str" hidden="1" xlm="1">#NAME?</definedName>
    <definedName name="_xlpm.text" hidden="1" xlm="1">#NAME?</definedName>
    <definedName name="numrecs">comment!$G$5</definedName>
    <definedName name="prefix">control!$B$7</definedName>
    <definedName name="range_slide">OFFSET(comment!$G$7,,,comment!$G$5)</definedName>
    <definedName name="range_text">OFFSET(comment!$H$7,,,comment!$G$5)</definedName>
    <definedName name="SUB_ALL">_xlfn.LAMBDA(_xlpm.text,_xlpm.old,_xlpm.new,_xlfn.LET(_xlpm.orig,_xlpm.old,_xlpm.rpl,_xlpm.new,_xlpm.str,_xlpm.text,_xlpm.cnt,COUNTA(_xlpm.orig),INDEX(_xlfn.SCAN(_xlpm.str,_xlfn.SEQUENCE(_xlpm.cnt),_xlfn.LAMBDA(_xlpm.a,_xlpm.b,SUBSTITUTE(SUBSTITUTE(_xlpm.a,INDEX(_xlpm.orig,_xlpm.b),INDEX(_xlpm.rpl,_xlpm.b)),"  "," "))),_xlpm.cnt)))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 a="1"/>
  <c r="A7" i="1" s="1"/>
  <c r="A8" i="1" s="1" a="1"/>
  <c r="A8" i="1" s="1"/>
  <c r="A9" i="1" s="1" a="1"/>
  <c r="A9" i="1" s="1"/>
  <c r="A10" i="1" s="1" a="1"/>
  <c r="A10" i="1" s="1"/>
  <c r="A11" i="1" s="1" a="1"/>
  <c r="A11" i="1" s="1"/>
  <c r="A12" i="1" s="1" a="1"/>
  <c r="A12" i="1" s="1"/>
  <c r="A13" i="1" s="1" a="1"/>
  <c r="A13" i="1" s="1"/>
  <c r="A14" i="1" s="1" a="1"/>
  <c r="A14" i="1" s="1"/>
  <c r="A15" i="1" s="1" a="1"/>
  <c r="A15" i="1" s="1"/>
  <c r="A16" i="1" s="1" a="1"/>
  <c r="A16" i="1" s="1"/>
  <c r="A17" i="1" s="1" a="1"/>
  <c r="A17" i="1" s="1"/>
  <c r="A18" i="1" s="1" a="1"/>
  <c r="A18" i="1" s="1"/>
  <c r="A19" i="1" s="1" a="1"/>
  <c r="A19" i="1" s="1"/>
  <c r="A20" i="1" s="1" a="1"/>
  <c r="A20" i="1" s="1"/>
  <c r="A21" i="1" s="1" a="1"/>
  <c r="A21" i="1" s="1"/>
  <c r="A22" i="1" s="1" a="1"/>
  <c r="A22" i="1" s="1"/>
  <c r="A23" i="1" s="1" a="1"/>
  <c r="A23" i="1" s="1"/>
  <c r="A24" i="1" s="1" a="1"/>
  <c r="A24" i="1" s="1"/>
  <c r="A25" i="1" s="1" a="1"/>
  <c r="A25" i="1" s="1"/>
  <c r="A26" i="1" s="1" a="1"/>
  <c r="A26" i="1" s="1"/>
  <c r="A27" i="1" s="1" a="1"/>
  <c r="A27" i="1" s="1"/>
  <c r="A28" i="1" s="1" a="1"/>
  <c r="A28" i="1" s="1"/>
  <c r="A29" i="1" s="1" a="1"/>
  <c r="A29" i="1" s="1"/>
  <c r="A30" i="1" s="1" a="1"/>
  <c r="A30" i="1" s="1"/>
  <c r="A31" i="1" s="1" a="1"/>
  <c r="A31" i="1" s="1"/>
  <c r="A32" i="1" s="1" a="1"/>
  <c r="A32" i="1" s="1"/>
  <c r="A34" i="1" s="1" a="1"/>
  <c r="A34" i="1" s="1"/>
  <c r="A35" i="1" s="1" a="1"/>
  <c r="A35" i="1" s="1"/>
  <c r="A36" i="1" s="1" a="1"/>
  <c r="A36" i="1" s="1"/>
  <c r="A37" i="1" s="1" a="1"/>
  <c r="A37" i="1" s="1"/>
  <c r="A38" i="1" s="1" a="1"/>
  <c r="A38" i="1" s="1"/>
  <c r="A39" i="1" s="1" a="1"/>
  <c r="A39" i="1" s="1"/>
  <c r="A40" i="1" s="1" a="1"/>
  <c r="A40" i="1" s="1"/>
  <c r="A41" i="1" s="1" a="1"/>
  <c r="A41" i="1" s="1"/>
  <c r="A42" i="1" s="1" a="1"/>
  <c r="A42" i="1" s="1"/>
  <c r="A43" i="1" s="1" a="1"/>
  <c r="A43" i="1" s="1"/>
  <c r="A44" i="1" s="1" a="1"/>
  <c r="A44" i="1" s="1"/>
  <c r="A45" i="1" s="1" a="1"/>
  <c r="A45" i="1" s="1"/>
  <c r="A46" i="1" s="1" a="1"/>
  <c r="A46" i="1" s="1"/>
  <c r="A47" i="1" s="1" a="1"/>
  <c r="A47" i="1" s="1"/>
  <c r="A48" i="1" s="1" a="1"/>
  <c r="A48" i="1" s="1"/>
  <c r="A49" i="1" s="1" a="1"/>
  <c r="A49" i="1" s="1"/>
  <c r="A50" i="1" s="1" a="1"/>
  <c r="A50" i="1" s="1"/>
  <c r="A51" i="1" s="1" a="1"/>
  <c r="A51" i="1" s="1"/>
  <c r="A52" i="1" s="1" a="1"/>
  <c r="A52" i="1" s="1"/>
  <c r="A53" i="1" s="1" a="1"/>
  <c r="A53" i="1" s="1"/>
  <c r="A54" i="1" s="1" a="1"/>
  <c r="A54" i="1" s="1"/>
  <c r="A55" i="1" s="1" a="1"/>
  <c r="A55" i="1" s="1"/>
  <c r="A56" i="1" s="1" a="1"/>
  <c r="A56" i="1" s="1"/>
  <c r="A57" i="1" s="1" a="1"/>
  <c r="A57" i="1" s="1"/>
  <c r="A58" i="1" s="1" a="1"/>
  <c r="A58" i="1" s="1"/>
  <c r="A59" i="1" s="1" a="1"/>
  <c r="A59" i="1" s="1"/>
  <c r="A60" i="1" s="1" a="1"/>
  <c r="A60" i="1" s="1"/>
  <c r="A61" i="1" s="1" a="1"/>
  <c r="A61" i="1" s="1"/>
  <c r="A62" i="1" s="1" a="1"/>
  <c r="A62" i="1" s="1"/>
  <c r="A63" i="1" s="1" a="1"/>
  <c r="A63" i="1" s="1"/>
  <c r="A64" i="1" s="1" a="1"/>
  <c r="A64" i="1" s="1"/>
  <c r="A65" i="1" s="1" a="1"/>
  <c r="A65" i="1" s="1"/>
  <c r="A66" i="1" s="1" a="1"/>
  <c r="A66" i="1" s="1"/>
  <c r="A67" i="1" s="1" a="1"/>
  <c r="A67" i="1" s="1"/>
  <c r="A68" i="1" s="1" a="1"/>
  <c r="A68" i="1" s="1"/>
  <c r="A69" i="1" s="1" a="1"/>
  <c r="A69" i="1" s="1"/>
  <c r="A70" i="1" s="1" a="1"/>
  <c r="A70" i="1" s="1"/>
  <c r="A71" i="1" s="1" a="1"/>
  <c r="A71" i="1" s="1"/>
  <c r="A72" i="1" s="1" a="1"/>
  <c r="A72" i="1" s="1"/>
  <c r="A73" i="1" s="1" a="1"/>
  <c r="A73" i="1" s="1"/>
  <c r="A74" i="1" s="1" a="1"/>
  <c r="A74" i="1" s="1"/>
  <c r="A75" i="1" s="1" a="1"/>
  <c r="A75" i="1" s="1"/>
  <c r="A76" i="1" s="1" a="1"/>
  <c r="A76" i="1" s="1"/>
  <c r="A77" i="1" s="1" a="1"/>
  <c r="A77" i="1" s="1"/>
  <c r="A78" i="1" s="1" a="1"/>
  <c r="A78" i="1" s="1"/>
  <c r="A79" i="1" s="1" a="1"/>
  <c r="A79" i="1" s="1"/>
  <c r="A80" i="1" s="1" a="1"/>
  <c r="A80" i="1" s="1"/>
  <c r="A81" i="1" s="1" a="1"/>
  <c r="A81" i="1" s="1"/>
  <c r="A82" i="1" s="1" a="1"/>
  <c r="A82" i="1" s="1"/>
  <c r="A83" i="1" s="1" a="1"/>
  <c r="A83" i="1" s="1"/>
  <c r="A84" i="1" s="1" a="1"/>
  <c r="A84" i="1" s="1"/>
  <c r="A85" i="1" s="1" a="1"/>
  <c r="A85" i="1" s="1"/>
  <c r="A86" i="1" s="1" a="1"/>
  <c r="A86" i="1" s="1"/>
  <c r="A87" i="1" s="1" a="1"/>
  <c r="A87" i="1" s="1"/>
  <c r="A88" i="1" s="1" a="1"/>
  <c r="A88" i="1" s="1"/>
  <c r="A89" i="1" s="1" a="1"/>
  <c r="A89" i="1" s="1"/>
  <c r="A90" i="1" s="1" a="1"/>
  <c r="A90" i="1" s="1"/>
  <c r="A91" i="1" s="1" a="1"/>
  <c r="A91" i="1" s="1"/>
  <c r="A92" i="1" s="1" a="1"/>
  <c r="A92" i="1" s="1"/>
  <c r="A93" i="1" s="1" a="1"/>
  <c r="A93" i="1" s="1"/>
  <c r="A94" i="1" s="1" a="1"/>
  <c r="A94" i="1" s="1"/>
  <c r="A95" i="1" s="1" a="1"/>
  <c r="A95" i="1" s="1"/>
  <c r="A96" i="1" s="1" a="1"/>
  <c r="A96" i="1" s="1"/>
  <c r="A97" i="1" s="1" a="1"/>
  <c r="A97" i="1" s="1"/>
  <c r="A98" i="1" s="1" a="1"/>
  <c r="A98" i="1" s="1"/>
  <c r="A99" i="1" s="1" a="1"/>
  <c r="A99" i="1" s="1"/>
  <c r="A100" i="1" s="1" a="1"/>
  <c r="A100" i="1" s="1"/>
  <c r="A101" i="1" s="1" a="1"/>
  <c r="A101" i="1" s="1"/>
  <c r="A102" i="1" s="1" a="1"/>
  <c r="A102" i="1" s="1"/>
  <c r="A103" i="1" s="1" a="1"/>
  <c r="A103" i="1" s="1"/>
  <c r="A104" i="1" s="1" a="1"/>
  <c r="A104" i="1" s="1"/>
  <c r="A105" i="1" s="1" a="1"/>
  <c r="A105" i="1" s="1"/>
  <c r="A106" i="1" s="1" a="1"/>
  <c r="A106" i="1" s="1"/>
  <c r="A107" i="1" s="1" a="1"/>
  <c r="A107" i="1" s="1"/>
  <c r="A108" i="1" s="1" a="1"/>
  <c r="A108" i="1" s="1"/>
  <c r="A109" i="1" s="1" a="1"/>
  <c r="A109" i="1" s="1"/>
  <c r="A110" i="1" s="1" a="1"/>
  <c r="A110" i="1" s="1"/>
  <c r="A111" i="1" s="1" a="1"/>
  <c r="A111" i="1" s="1"/>
  <c r="A112" i="1" s="1" a="1"/>
  <c r="A112" i="1" s="1"/>
  <c r="A113" i="1" s="1" a="1"/>
  <c r="A113" i="1" s="1"/>
  <c r="A114" i="1" s="1" a="1"/>
  <c r="A114" i="1" s="1"/>
  <c r="A115" i="1" s="1" a="1"/>
  <c r="A115" i="1" s="1"/>
  <c r="A116" i="1" s="1" a="1"/>
  <c r="A116" i="1" s="1"/>
  <c r="A117" i="1" s="1" a="1"/>
  <c r="A117" i="1" s="1"/>
  <c r="A118" i="1" s="1" a="1"/>
  <c r="A118" i="1" s="1"/>
  <c r="A119" i="1" s="1" a="1"/>
  <c r="A119" i="1" s="1"/>
  <c r="A120" i="1" s="1" a="1"/>
  <c r="A120" i="1" s="1"/>
  <c r="A121" i="1" s="1" a="1"/>
  <c r="A121" i="1" s="1"/>
  <c r="A122" i="1" s="1" a="1"/>
  <c r="A122" i="1" s="1"/>
  <c r="A123" i="1" s="1" a="1"/>
  <c r="A123" i="1" s="1"/>
  <c r="A124" i="1" s="1" a="1"/>
  <c r="A124" i="1" s="1"/>
  <c r="A125" i="1" s="1" a="1"/>
  <c r="A125" i="1" s="1"/>
  <c r="A126" i="1" s="1" a="1"/>
  <c r="A126" i="1" s="1"/>
  <c r="A127" i="1" s="1" a="1"/>
  <c r="A127" i="1" s="1"/>
  <c r="A128" i="1" s="1" a="1"/>
  <c r="A128" i="1" s="1"/>
  <c r="A129" i="1" s="1" a="1"/>
  <c r="A129" i="1" s="1"/>
  <c r="A130" i="1" s="1" a="1"/>
  <c r="A130" i="1" s="1"/>
  <c r="A131" i="1" s="1" a="1"/>
  <c r="A131" i="1" s="1"/>
  <c r="A132" i="1" s="1" a="1"/>
  <c r="A132" i="1" s="1"/>
  <c r="A133" i="1" s="1" a="1"/>
  <c r="A133" i="1" s="1"/>
  <c r="A134" i="1" s="1" a="1"/>
  <c r="A134" i="1" s="1"/>
  <c r="A135" i="1" s="1" a="1"/>
  <c r="A135" i="1" s="1"/>
  <c r="A136" i="1" s="1" a="1"/>
  <c r="A136" i="1" s="1"/>
  <c r="A137" i="1" s="1" a="1"/>
  <c r="A137" i="1" s="1"/>
  <c r="A138" i="1" s="1" a="1"/>
  <c r="A138" i="1" s="1"/>
  <c r="A139" i="1" s="1" a="1"/>
  <c r="A139" i="1" s="1"/>
  <c r="A140" i="1" s="1" a="1"/>
  <c r="A140" i="1" s="1"/>
  <c r="A141" i="1" s="1" a="1"/>
  <c r="A141" i="1" s="1"/>
  <c r="A142" i="1" s="1" a="1"/>
  <c r="A142" i="1" s="1"/>
  <c r="A143" i="1" s="1" a="1"/>
  <c r="A143" i="1" s="1"/>
  <c r="A144" i="1" s="1" a="1"/>
  <c r="A144" i="1" s="1"/>
  <c r="A145" i="1" s="1" a="1"/>
  <c r="A145" i="1" s="1"/>
  <c r="A146" i="1" s="1" a="1"/>
  <c r="A146" i="1" s="1"/>
  <c r="A147" i="1" s="1" a="1"/>
  <c r="A147" i="1" s="1"/>
  <c r="A148" i="1" s="1" a="1"/>
  <c r="A148" i="1" s="1"/>
  <c r="A149" i="1" s="1" a="1"/>
  <c r="A149" i="1" s="1"/>
  <c r="A150" i="1" s="1" a="1"/>
  <c r="A150" i="1" s="1"/>
  <c r="A151" i="1" s="1" a="1"/>
  <c r="A151" i="1" s="1"/>
  <c r="A152" i="1" s="1" a="1"/>
  <c r="A152" i="1" s="1"/>
  <c r="A153" i="1" s="1" a="1"/>
  <c r="A153" i="1" s="1"/>
  <c r="A154" i="1" s="1" a="1"/>
  <c r="A154" i="1" s="1"/>
  <c r="A155" i="1" s="1" a="1"/>
  <c r="A155" i="1" s="1"/>
  <c r="A156" i="1" s="1" a="1"/>
  <c r="A156" i="1" s="1"/>
  <c r="A157" i="1" s="1" a="1"/>
  <c r="A157" i="1" s="1"/>
  <c r="A158" i="1" s="1" a="1"/>
  <c r="A158" i="1" s="1"/>
  <c r="A159" i="1" s="1" a="1"/>
  <c r="A159" i="1" s="1"/>
  <c r="A160" i="1" s="1" a="1"/>
  <c r="A160" i="1" s="1"/>
  <c r="A161" i="1" s="1" a="1"/>
  <c r="A161" i="1" s="1"/>
  <c r="A162" i="1" s="1" a="1"/>
  <c r="A162" i="1" s="1"/>
  <c r="A163" i="1" s="1" a="1"/>
  <c r="A163" i="1" s="1"/>
  <c r="A164" i="1" s="1" a="1"/>
  <c r="A164" i="1" s="1"/>
  <c r="A165" i="1" s="1" a="1"/>
  <c r="A165" i="1" s="1"/>
  <c r="A166" i="1" s="1" a="1"/>
  <c r="A166" i="1" s="1"/>
  <c r="A167" i="1" s="1" a="1"/>
  <c r="A167" i="1" s="1"/>
  <c r="A168" i="1" s="1" a="1"/>
  <c r="A168" i="1" s="1"/>
  <c r="A169" i="1" s="1" a="1"/>
  <c r="A169" i="1" s="1"/>
  <c r="A170" i="1" s="1" a="1"/>
  <c r="A170" i="1" s="1"/>
  <c r="A171" i="1" s="1" a="1"/>
  <c r="A171" i="1" s="1"/>
  <c r="A172" i="1" s="1" a="1"/>
  <c r="A172" i="1" s="1"/>
  <c r="A173" i="1" s="1" a="1"/>
  <c r="A173" i="1" s="1"/>
  <c r="A174" i="1" s="1" a="1"/>
  <c r="A174" i="1" s="1"/>
  <c r="A175" i="1" s="1" a="1"/>
  <c r="A175" i="1" s="1"/>
  <c r="A176" i="1" s="1" a="1"/>
  <c r="A176" i="1" s="1"/>
  <c r="A177" i="1" s="1" a="1"/>
  <c r="A177" i="1" s="1"/>
  <c r="A178" i="1" s="1" a="1"/>
  <c r="A178" i="1" s="1"/>
  <c r="A179" i="1" s="1" a="1"/>
  <c r="A179" i="1" s="1"/>
  <c r="A180" i="1" s="1" a="1"/>
  <c r="A180" i="1" s="1"/>
  <c r="A181" i="1" s="1" a="1"/>
  <c r="A181" i="1" s="1"/>
  <c r="A182" i="1" s="1" a="1"/>
  <c r="A182" i="1" s="1"/>
  <c r="A183" i="1" s="1" a="1"/>
  <c r="A183" i="1" s="1"/>
  <c r="A184" i="1" s="1" a="1"/>
  <c r="A184" i="1" s="1"/>
  <c r="A185" i="1" s="1" a="1"/>
  <c r="A185" i="1" s="1"/>
  <c r="A186" i="1" s="1" a="1"/>
  <c r="A186" i="1" s="1"/>
  <c r="A187" i="1" s="1" a="1"/>
  <c r="A187" i="1" s="1"/>
  <c r="A188" i="1" s="1" a="1"/>
  <c r="A188" i="1" s="1"/>
  <c r="A189" i="1" s="1" a="1"/>
  <c r="A189" i="1" s="1"/>
  <c r="A190" i="1" s="1" a="1"/>
  <c r="A190" i="1" s="1"/>
  <c r="A191" i="1" s="1" a="1"/>
  <c r="A191" i="1" s="1"/>
  <c r="A192" i="1" s="1" a="1"/>
  <c r="A192" i="1" s="1"/>
  <c r="A193" i="1" s="1" a="1"/>
  <c r="A193" i="1" s="1"/>
  <c r="A194" i="1" s="1" a="1"/>
  <c r="A194" i="1" s="1"/>
  <c r="A195" i="1" s="1" a="1"/>
  <c r="A195" i="1" s="1"/>
  <c r="A196" i="1" s="1" a="1"/>
  <c r="A196" i="1" s="1"/>
  <c r="A197" i="1" s="1" a="1"/>
  <c r="A197" i="1" s="1"/>
  <c r="A198" i="1" s="1" a="1"/>
  <c r="A198" i="1" s="1"/>
  <c r="A199" i="1" s="1" a="1"/>
  <c r="A199" i="1" s="1"/>
  <c r="A200" i="1" s="1" a="1"/>
  <c r="A200" i="1" s="1"/>
  <c r="A201" i="1" s="1" a="1"/>
  <c r="A201" i="1" s="1"/>
  <c r="A202" i="1" s="1" a="1"/>
  <c r="A202" i="1" s="1"/>
  <c r="A203" i="1" s="1" a="1"/>
  <c r="A203" i="1" s="1"/>
  <c r="A204" i="1" s="1" a="1"/>
  <c r="A204" i="1" s="1"/>
  <c r="A205" i="1" s="1" a="1"/>
  <c r="A205" i="1" s="1"/>
  <c r="A206" i="1" s="1" a="1"/>
  <c r="A206" i="1" s="1"/>
  <c r="A207" i="1" s="1" a="1"/>
  <c r="A207" i="1" s="1"/>
  <c r="A208" i="1" s="1" a="1"/>
  <c r="A208" i="1" s="1"/>
  <c r="A209" i="1" s="1" a="1"/>
  <c r="A209" i="1" s="1"/>
  <c r="A210" i="1" s="1" a="1"/>
  <c r="A210" i="1" s="1"/>
  <c r="A211" i="1" s="1" a="1"/>
  <c r="A211" i="1" s="1"/>
  <c r="A212" i="1" s="1" a="1"/>
  <c r="A212" i="1" s="1"/>
  <c r="A213" i="1" s="1" a="1"/>
  <c r="A213" i="1" s="1"/>
  <c r="A214" i="1" s="1" a="1"/>
  <c r="A214" i="1" s="1"/>
  <c r="A215" i="1" s="1" a="1"/>
  <c r="A215" i="1" s="1"/>
  <c r="A216" i="1" s="1" a="1"/>
  <c r="A216" i="1" s="1"/>
  <c r="A217" i="1" s="1" a="1"/>
  <c r="A217" i="1" s="1"/>
  <c r="A218" i="1" s="1" a="1"/>
  <c r="A218" i="1" s="1"/>
  <c r="A219" i="1" s="1" a="1"/>
  <c r="A219" i="1" s="1"/>
  <c r="A220" i="1" s="1" a="1"/>
  <c r="A220" i="1" s="1"/>
  <c r="A221" i="1" s="1" a="1"/>
  <c r="A221" i="1" s="1"/>
  <c r="A222" i="1" s="1" a="1"/>
  <c r="A222" i="1" s="1"/>
  <c r="A223" i="1" s="1" a="1"/>
  <c r="A223" i="1" s="1"/>
  <c r="A224" i="1" s="1" a="1"/>
  <c r="A224" i="1" s="1"/>
  <c r="A225" i="1" s="1" a="1"/>
  <c r="A225" i="1" s="1"/>
  <c r="A226" i="1" s="1" a="1"/>
  <c r="A226" i="1" s="1"/>
  <c r="A227" i="1" s="1" a="1"/>
  <c r="A227" i="1" s="1"/>
  <c r="A228" i="1" s="1" a="1"/>
  <c r="A228" i="1" s="1"/>
  <c r="A229" i="1" s="1" a="1"/>
  <c r="A229" i="1" s="1"/>
  <c r="A230" i="1" s="1" a="1"/>
  <c r="A230" i="1" s="1"/>
  <c r="A231" i="1" s="1" a="1"/>
  <c r="A231" i="1" s="1"/>
  <c r="A232" i="1" s="1" a="1"/>
  <c r="A232" i="1" s="1"/>
  <c r="A233" i="1" s="1" a="1"/>
  <c r="A233" i="1" s="1"/>
  <c r="A234" i="1" s="1" a="1"/>
  <c r="A234" i="1" s="1"/>
  <c r="A235" i="1" s="1" a="1"/>
  <c r="A235" i="1" s="1"/>
  <c r="A236" i="1" s="1" a="1"/>
  <c r="A236" i="1" s="1"/>
  <c r="A237" i="1" s="1" a="1"/>
  <c r="A237" i="1" s="1"/>
  <c r="A238" i="1" s="1" a="1"/>
  <c r="A238" i="1" s="1"/>
  <c r="A239" i="1" s="1" a="1"/>
  <c r="A239" i="1" s="1"/>
  <c r="A240" i="1" s="1" a="1"/>
  <c r="A240" i="1" s="1"/>
  <c r="A241" i="1" s="1" a="1"/>
  <c r="A241" i="1" s="1"/>
  <c r="A242" i="1" s="1" a="1"/>
  <c r="A242" i="1" s="1"/>
  <c r="A243" i="1" s="1" a="1"/>
  <c r="A243" i="1" s="1"/>
  <c r="A244" i="1" s="1" a="1"/>
  <c r="A244" i="1" s="1"/>
  <c r="A245" i="1" s="1" a="1"/>
  <c r="A245" i="1" s="1"/>
  <c r="A246" i="1" s="1" a="1"/>
  <c r="A246" i="1" s="1"/>
  <c r="A247" i="1" s="1" a="1"/>
  <c r="A247" i="1" s="1"/>
  <c r="A248" i="1" s="1" a="1"/>
  <c r="A248" i="1" s="1"/>
  <c r="A249" i="1" s="1" a="1"/>
  <c r="A249" i="1" s="1"/>
  <c r="A250" i="1" s="1" a="1"/>
  <c r="A250" i="1" s="1"/>
  <c r="A251" i="1" s="1" a="1"/>
  <c r="A251" i="1" s="1"/>
  <c r="A252" i="1" s="1" a="1"/>
  <c r="A252" i="1" s="1"/>
  <c r="A253" i="1" s="1" a="1"/>
  <c r="A253" i="1" s="1"/>
  <c r="A254" i="1" s="1" a="1"/>
  <c r="A254" i="1" s="1"/>
  <c r="A255" i="1" s="1" a="1"/>
  <c r="A255" i="1" s="1"/>
  <c r="A256" i="1" s="1" a="1"/>
  <c r="A256" i="1" s="1"/>
  <c r="A257" i="1" s="1" a="1"/>
  <c r="A257" i="1" s="1"/>
  <c r="A258" i="1" s="1" a="1"/>
  <c r="A258" i="1" s="1"/>
  <c r="A259" i="1" s="1" a="1"/>
  <c r="A259" i="1" s="1"/>
  <c r="A260" i="1" s="1" a="1"/>
  <c r="A260" i="1" s="1"/>
  <c r="A261" i="1" s="1" a="1"/>
  <c r="A261" i="1" s="1"/>
  <c r="A262" i="1" s="1" a="1"/>
  <c r="A262" i="1" s="1"/>
  <c r="A263" i="1" s="1" a="1"/>
  <c r="A263" i="1" s="1"/>
  <c r="A264" i="1" s="1" a="1"/>
  <c r="A264" i="1" s="1"/>
  <c r="A265" i="1" s="1" a="1"/>
  <c r="A265" i="1" s="1"/>
  <c r="A266" i="1" s="1" a="1"/>
  <c r="A266" i="1" s="1"/>
  <c r="A267" i="1" s="1" a="1"/>
  <c r="A267" i="1" s="1"/>
  <c r="A268" i="1" s="1" a="1"/>
  <c r="A268" i="1" s="1"/>
  <c r="A269" i="1" s="1" a="1"/>
  <c r="A269" i="1" s="1"/>
  <c r="A270" i="1" s="1" a="1"/>
  <c r="A270" i="1" s="1"/>
  <c r="A271" i="1" s="1" a="1"/>
  <c r="A271" i="1" s="1"/>
  <c r="A272" i="1" s="1" a="1"/>
  <c r="A272" i="1" s="1"/>
  <c r="A273" i="1" s="1" a="1"/>
  <c r="A273" i="1" s="1"/>
  <c r="A274" i="1" s="1" a="1"/>
  <c r="A274" i="1" s="1"/>
  <c r="A275" i="1" s="1" a="1"/>
  <c r="A275" i="1" s="1"/>
  <c r="A276" i="1" s="1" a="1"/>
  <c r="A276" i="1" s="1"/>
  <c r="A277" i="1" s="1" a="1"/>
  <c r="A277" i="1" s="1"/>
  <c r="A278" i="1" s="1" a="1"/>
  <c r="A278" i="1" s="1"/>
  <c r="A279" i="1" s="1" a="1"/>
  <c r="A279" i="1" s="1"/>
  <c r="A280" i="1" s="1" a="1"/>
  <c r="A280" i="1" s="1"/>
  <c r="A281" i="1" s="1" a="1"/>
  <c r="A281" i="1" s="1"/>
  <c r="A282" i="1" s="1" a="1"/>
  <c r="A282" i="1" s="1"/>
  <c r="A283" i="1" s="1" a="1"/>
  <c r="A283" i="1" s="1"/>
  <c r="A284" i="1" s="1" a="1"/>
  <c r="A284" i="1" s="1"/>
  <c r="A285" i="1" s="1" a="1"/>
  <c r="A285" i="1" s="1"/>
  <c r="A286" i="1" s="1" a="1"/>
  <c r="A286" i="1" s="1"/>
  <c r="A287" i="1" s="1" a="1"/>
  <c r="A287" i="1" s="1"/>
  <c r="A288" i="1" s="1" a="1"/>
  <c r="A288" i="1" s="1"/>
  <c r="A289" i="1" s="1" a="1"/>
  <c r="A289" i="1" s="1"/>
  <c r="A290" i="1" s="1" a="1"/>
  <c r="A290" i="1" s="1"/>
  <c r="A291" i="1" s="1" a="1"/>
  <c r="A291" i="1" s="1"/>
  <c r="A292" i="1" s="1" a="1"/>
  <c r="A292" i="1" s="1"/>
  <c r="A293" i="1" s="1" a="1"/>
  <c r="A293" i="1" s="1"/>
  <c r="A294" i="1" s="1" a="1"/>
  <c r="A294" i="1" s="1"/>
  <c r="A295" i="1" s="1" a="1"/>
  <c r="A295" i="1" s="1"/>
  <c r="A296" i="1" s="1" a="1"/>
  <c r="A296" i="1" s="1"/>
  <c r="A297" i="1" s="1" a="1"/>
  <c r="A297" i="1" s="1"/>
  <c r="A298" i="1" s="1" a="1"/>
  <c r="A298" i="1" s="1"/>
  <c r="A299" i="1" s="1" a="1"/>
  <c r="A299" i="1" s="1"/>
  <c r="A300" i="1" s="1" a="1"/>
  <c r="A300" i="1" s="1"/>
  <c r="A301" i="1" s="1" a="1"/>
  <c r="A301" i="1" s="1"/>
  <c r="A302" i="1" s="1" a="1"/>
  <c r="A302" i="1" s="1"/>
  <c r="A303" i="1" s="1" a="1"/>
  <c r="A303" i="1" s="1"/>
  <c r="A33" i="1" l="1" a="1"/>
  <c r="A33" i="1" s="1"/>
  <c r="G27" i="1"/>
  <c r="G26" i="1"/>
  <c r="G25" i="1"/>
  <c r="G24" i="1"/>
  <c r="G23" i="1"/>
  <c r="G22" i="1"/>
  <c r="B7" i="2"/>
  <c r="E26" i="1" l="1" a="1"/>
  <c r="E26" i="1" s="1"/>
  <c r="H26" i="1" s="1"/>
  <c r="E27" i="1" a="1"/>
  <c r="E27" i="1" s="1"/>
  <c r="H27" i="1" s="1"/>
  <c r="E22" i="1" a="1"/>
  <c r="E22" i="1" s="1"/>
  <c r="H22" i="1" s="1"/>
  <c r="D7" i="1" a="1"/>
  <c r="E23" i="1" a="1"/>
  <c r="E23" i="1" s="1"/>
  <c r="H23" i="1" s="1"/>
  <c r="E24" i="1" a="1"/>
  <c r="E24" i="1" s="1"/>
  <c r="H24" i="1" s="1"/>
  <c r="E25" i="1" a="1"/>
  <c r="E25" i="1" s="1"/>
  <c r="H25" i="1" s="1"/>
  <c r="G21" i="1" l="1"/>
  <c r="G20" i="1"/>
  <c r="E20" i="1" a="1"/>
  <c r="E20" i="1" s="1"/>
  <c r="H20" i="1" s="1"/>
  <c r="E21" i="1" a="1"/>
  <c r="E21" i="1" s="1"/>
  <c r="H21" i="1" s="1"/>
  <c r="G18" i="1"/>
  <c r="G19" i="1"/>
  <c r="E19" i="1" a="1"/>
  <c r="E19" i="1" s="1"/>
  <c r="H19" i="1" s="1"/>
  <c r="E18" i="1" a="1"/>
  <c r="E18" i="1" s="1"/>
  <c r="H18" i="1" s="1"/>
  <c r="G17" i="1"/>
  <c r="E17" i="1" a="1"/>
  <c r="E17" i="1" s="1"/>
  <c r="H17" i="1" s="1"/>
  <c r="G15" i="1"/>
  <c r="G16" i="1"/>
  <c r="G9" i="1"/>
  <c r="G8" i="1"/>
  <c r="G13" i="1"/>
  <c r="G12" i="1"/>
  <c r="G11" i="1"/>
  <c r="G10" i="1"/>
  <c r="G14" i="1"/>
  <c r="E11" i="1" a="1"/>
  <c r="E11" i="1" s="1"/>
  <c r="H11" i="1" s="1"/>
  <c r="E14" i="1" a="1"/>
  <c r="E14" i="1" s="1"/>
  <c r="H14" i="1" s="1"/>
  <c r="E10" i="1" a="1"/>
  <c r="E10" i="1" s="1"/>
  <c r="H10" i="1" s="1"/>
  <c r="E12" i="1" a="1"/>
  <c r="E12" i="1" s="1"/>
  <c r="H12" i="1" s="1"/>
  <c r="E15" i="1" a="1"/>
  <c r="E15" i="1" s="1"/>
  <c r="H15" i="1" s="1"/>
  <c r="E9" i="1" a="1"/>
  <c r="E9" i="1" s="1"/>
  <c r="H9" i="1" s="1"/>
  <c r="E16" i="1" a="1"/>
  <c r="E16" i="1" s="1"/>
  <c r="H16" i="1" s="1"/>
  <c r="E13" i="1" a="1"/>
  <c r="E13" i="1" s="1"/>
  <c r="H13" i="1" s="1"/>
  <c r="D7" i="1"/>
  <c r="G7" i="1" s="1"/>
  <c r="E8" i="1" a="1"/>
  <c r="E8" i="1" s="1"/>
  <c r="H8" i="1" s="1"/>
  <c r="E7" i="1" l="1" a="1"/>
  <c r="E7" i="1" s="1"/>
  <c r="H7" i="1" s="1"/>
  <c r="G5" i="1" a="1"/>
  <c r="G5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<sst xmlns="http://schemas.openxmlformats.org/spreadsheetml/2006/main" count="22" uniqueCount="22">
  <si>
    <t>Raw</t>
  </si>
  <si>
    <t>Slide</t>
  </si>
  <si>
    <t>Text</t>
  </si>
  <si>
    <t>slide</t>
  </si>
  <si>
    <t>text</t>
  </si>
  <si>
    <t>Text to be substituted</t>
  </si>
  <si>
    <t>S</t>
  </si>
  <si>
    <t>P</t>
  </si>
  <si>
    <t>#</t>
  </si>
  <si>
    <t>Prefix</t>
  </si>
  <si>
    <t>Diff</t>
  </si>
  <si>
    <t>P14</t>
  </si>
  <si>
    <t>P19</t>
  </si>
  <si>
    <t>Patient share by doctor attributes of certification and dept</t>
  </si>
  <si>
    <t>P20</t>
  </si>
  <si>
    <t>P21</t>
  </si>
  <si>
    <t>Looks good ~</t>
  </si>
  <si>
    <t>Heptl certificated account ß これの日本語をfootnoteに書いておいてください、肝臓認定施設だっけ。。？ footnoteにdata source （どこの何からデータ持ってきたか）も記載</t>
  </si>
  <si>
    <t>に関して、この母数ってなんだっけ？　何を100%としたときの82%がLiver specialistなの？　全PBC患者のうち、82%は専門医が持っているってことだった？</t>
  </si>
  <si>
    <t>これ、科研のportfolioからOrthとDermがターゲットされているってわかるってこと、、？</t>
  </si>
  <si>
    <t>でもDermに関しては、P19からわかるように、処方にはほとんど関係ないってことになっている、、？</t>
  </si>
  <si>
    <t>（処方はしていないけど、patient journeyに出てくるから、ターゲットの価値あるって言っている、、？（結局出てくるんだっけ、、？））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</si>
</sst>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12700</xdr:rowOff>
    </xdr:from>
    <xdr:to>
      <xdr:col>4</xdr:col>
      <xdr:colOff>533400</xdr:colOff>
      <xdr:row>3</xdr:row>
      <xdr:rowOff>171450</xdr:rowOff>
    </xdr:to>
    <xdr:sp macro="[0]!CopyTextToPP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BFC7FBB-A55C-4F62-2CAC-017010A2F039}"/>
            </a:ext>
          </a:extLst>
        </xdr:cNvPr>
        <xdr:cNvSpPr/>
      </xdr:nvSpPr>
      <xdr:spPr>
        <a:xfrm>
          <a:off x="628650" y="196850"/>
          <a:ext cx="2343150" cy="527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</a:t>
          </a:r>
          <a:r>
            <a:rPr lang="en-US" sz="1100" baseline="0"/>
            <a:t> to PPT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EE50D-B3AB-4A05-8D22-D1C0EDC05817}">
  <sheetPr codeName="Sheet1"/>
  <dimension ref="B2:B10"/>
  <sheetViews>
    <sheetView workbookViewId="0">
      <selection activeCell="B9" sqref="B9"/>
    </sheetView>
  </sheetViews>
  <sheetFormatPr defaultRowHeight="14.5" x14ac:dyDescent="0.35"/>
  <sheetData>
    <row r="2" spans="2:2" x14ac:dyDescent="0.35">
      <c r="B2" t="s">
        <v>5</v>
      </c>
    </row>
    <row r="3" spans="2:2" x14ac:dyDescent="0.35">
      <c r="B3" t="s">
        <v>6</v>
      </c>
    </row>
    <row r="4" spans="2:2" x14ac:dyDescent="0.35">
      <c r="B4" t="s">
        <v>7</v>
      </c>
    </row>
    <row r="6" spans="2:2" x14ac:dyDescent="0.35">
      <c r="B6" t="s">
        <v>9</v>
      </c>
    </row>
    <row r="7" spans="2:2" x14ac:dyDescent="0.35">
      <c r="B7" t="str">
        <f>"[TS]"&amp;CHAR(10)</f>
        <v xml:space="preserve">[TS]
</v>
      </c>
    </row>
    <row r="9" spans="2:2" x14ac:dyDescent="0.35">
      <c r="B9" t="s">
        <v>10</v>
      </c>
    </row>
    <row r="10" spans="2:2" x14ac:dyDescent="0.35">
      <c r="B10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5:H303"/>
  <sheetViews>
    <sheetView tabSelected="1" workbookViewId="0">
      <selection activeCell="B7" sqref="B7:B20"/>
    </sheetView>
  </sheetViews>
  <sheetFormatPr defaultRowHeight="14.5" x14ac:dyDescent="0.35"/>
  <sheetData>
    <row r="5" spans="1:8" x14ac:dyDescent="0.35">
      <c r="G5" cm="1">
        <f t="array" ref="G5">COUNTA(_xlfn._xlws.FILTER($G$7:$G$27,$G$7:$G$27&lt;&gt;""))</f>
        <v>4</v>
      </c>
    </row>
    <row r="6" spans="1:8" x14ac:dyDescent="0.35">
      <c r="A6" t="s">
        <v>8</v>
      </c>
      <c r="B6" t="s">
        <v>0</v>
      </c>
      <c r="D6" t="s">
        <v>3</v>
      </c>
      <c r="E6" t="s">
        <v>4</v>
      </c>
      <c r="G6" t="s">
        <v>1</v>
      </c>
      <c r="H6" t="s">
        <v>2</v>
      </c>
    </row>
    <row r="7" spans="1:8" x14ac:dyDescent="0.35">
      <c r="A7" cm="1">
        <f t="array" ref="A7">IF(B7="",A6,IFERROR(VALUE(RIGHT("00"&amp;SUB_ALL(B7,control!$B$3:$B$4,control!$C$3:$C$4),3)),A6))</f>
        <v>14</v>
      </c>
      <c r="B7" t="s">
        <v>11</v>
      </c>
      <c r="D7" cm="1">
        <f t="array" ref="D7:D10">_xlfn.UNIQUE(A7:A303)</f>
        <v>14</v>
      </c>
      <c r="E7" t="str" cm="1">
        <f t="array" ref="E7">IFERROR(prefix&amp;_xlfn.TEXTJOIN(CHAR(10),1,_xlfn._xlws.FILTER($B$7:$B$303,($B$7:$B$303&lt;&gt;"")*($A$7:$A$303=$D7))),"")</f>
        <v>[TS]
P14
Heptl certificated account ß これの日本語をfootnoteに書いておいてください、肝臓認定施設だっけ。。？ footnoteにdata source （どこの何からデータ持ってきたか）も記載</v>
      </c>
      <c r="G7">
        <f>IF(D7="","",D7+control!$B$10)</f>
        <v>14</v>
      </c>
      <c r="H7" t="str">
        <f t="shared" ref="H7:H27" si="0">IF(E7="","",E7)</f>
        <v>[TS]
P14
Heptl certificated account ß これの日本語をfootnoteに書いておいてください、肝臓認定施設だっけ。。？ footnoteにdata source （どこの何からデータ持ってきたか）も記載</v>
      </c>
    </row>
    <row r="8" spans="1:8" x14ac:dyDescent="0.35">
      <c r="A8" cm="1">
        <f t="array" ref="A8">IF(B8="",A7,IFERROR(VALUE(SUB_ALL(B8,control!$B$3:$B$4,control!$C$3:$C$4)),A7))</f>
        <v>14</v>
      </c>
      <c r="B8" t="s">
        <v>17</v>
      </c>
      <c r="D8">
        <v>19</v>
      </c>
      <c r="E8" t="str" cm="1">
        <f t="array" ref="E8">IFERROR(prefix&amp;_xlfn.TEXTJOIN(CHAR(10),1,_xlfn._xlws.FILTER($B$7:$B$303,($B$7:$B$303&lt;&gt;"")*($A$7:$A$303=$D8))),"")</f>
        <v>[TS]
P19
Patient share by doctor attributes of certification and dept
に関して、この母数ってなんだっけ？　何を100%としたときの82%がLiver specialistなの？　全PBC患者のうち、82%は専門医が持っているってことだった？</v>
      </c>
      <c r="G8">
        <f>IF(D8="","",D8+control!$B$10)</f>
        <v>19</v>
      </c>
      <c r="H8" t="str">
        <f t="shared" si="0"/>
        <v>[TS]
P19
Patient share by doctor attributes of certification and dept
に関して、この母数ってなんだっけ？　何を100%としたときの82%がLiver specialistなの？　全PBC患者のうち、82%は専門医が持っているってことだった？</v>
      </c>
    </row>
    <row r="9" spans="1:8" x14ac:dyDescent="0.35">
      <c r="A9" cm="1">
        <f t="array" ref="A9">IF(B9="",A8,IFERROR(VALUE(SUB_ALL(B9,control!$B$3:$B$4,control!$C$3:$C$4)),A8))</f>
        <v>14</v>
      </c>
      <c r="D9">
        <v>20</v>
      </c>
      <c r="E9" t="str" cm="1">
        <f t="array" ref="E9">IFERROR(prefix&amp;_xlfn.TEXTJOIN(CHAR(10),1,_xlfn._xlws.FILTER($B$7:$B$303,($B$7:$B$303&lt;&gt;"")*($A$7:$A$303=$D9))),"")</f>
        <v>[TS]
P20
これ、科研のportfolioからOrthとDermがターゲットされているってわかるってこと、、？
でもDermに関しては、P19からわかるように、処方にはほとんど関係ないってことになっている、、？
（処方はしていないけど、patient journeyに出てくるから、ターゲットの価値あるって言っている、、？（結局出てくるんだっけ、、？））</v>
      </c>
      <c r="G9">
        <f>IF(D9="","",D9+control!$B$10)</f>
        <v>20</v>
      </c>
      <c r="H9" t="str">
        <f t="shared" si="0"/>
        <v>[TS]
P20
これ、科研のportfolioからOrthとDermがターゲットされているってわかるってこと、、？
でもDermに関しては、P19からわかるように、処方にはほとんど関係ないってことになっている、、？
（処方はしていないけど、patient journeyに出てくるから、ターゲットの価値あるって言っている、、？（結局出てくるんだっけ、、？））</v>
      </c>
    </row>
    <row r="10" spans="1:8" x14ac:dyDescent="0.35">
      <c r="A10" cm="1">
        <f t="array" ref="A10">IF(B10="",A9,IFERROR(VALUE(SUB_ALL(B10,control!$B$3:$B$4,control!$C$3:$C$4)),A9))</f>
        <v>19</v>
      </c>
      <c r="B10" t="s">
        <v>12</v>
      </c>
      <c r="D10">
        <v>21</v>
      </c>
      <c r="E10" t="str" cm="1">
        <f t="array" ref="E10">IFERROR(prefix&amp;_xlfn.TEXTJOIN(CHAR(10),1,_xlfn._xlws.FILTER($B$7:$B$303,($B$7:$B$303&lt;&gt;"")*($A$7:$A$303=$D10))),"")</f>
        <v>[TS]
P21
Looks good ~</v>
      </c>
      <c r="G10">
        <f>IF(D10="","",D10+control!$B$10)</f>
        <v>21</v>
      </c>
      <c r="H10" t="str">
        <f t="shared" si="0"/>
        <v>[TS]
P21
Looks good ~</v>
      </c>
    </row>
    <row r="11" spans="1:8" x14ac:dyDescent="0.35">
      <c r="A11" cm="1">
        <f t="array" ref="A11">IF(B11="",A10,IFERROR(VALUE(SUB_ALL(B11,control!$B$3:$B$4,control!$C$3:$C$4)),A10))</f>
        <v>19</v>
      </c>
      <c r="B11" t="s">
        <v>13</v>
      </c>
      <c r="E11" t="str" cm="1">
        <f t="array" ref="E11">IFERROR(prefix&amp;_xlfn.TEXTJOIN(CHAR(10),1,_xlfn._xlws.FILTER($B$7:$B$303,($B$7:$B$303&lt;&gt;"")*($A$7:$A$303=$D11))),"")</f>
        <v/>
      </c>
      <c r="G11" t="str">
        <f>IF(D11="","",D11+control!$B$10)</f>
        <v/>
      </c>
      <c r="H11" t="str">
        <f t="shared" si="0"/>
        <v/>
      </c>
    </row>
    <row r="12" spans="1:8" x14ac:dyDescent="0.35">
      <c r="A12" cm="1">
        <f t="array" ref="A12">IF(B12="",A11,IFERROR(VALUE(SUB_ALL(B12,control!$B$3:$B$4,control!$C$3:$C$4)),A11))</f>
        <v>19</v>
      </c>
      <c r="B12" t="s">
        <v>18</v>
      </c>
      <c r="E12" t="str" cm="1">
        <f t="array" ref="E12">IFERROR(prefix&amp;_xlfn.TEXTJOIN(CHAR(10),1,_xlfn._xlws.FILTER($B$7:$B$303,($B$7:$B$303&lt;&gt;"")*($A$7:$A$303=$D12))),"")</f>
        <v/>
      </c>
      <c r="G12" t="str">
        <f>IF(D12="","",D12+control!$B$10)</f>
        <v/>
      </c>
      <c r="H12" t="str">
        <f t="shared" si="0"/>
        <v/>
      </c>
    </row>
    <row r="13" spans="1:8" x14ac:dyDescent="0.35">
      <c r="A13" cm="1">
        <f t="array" ref="A13">IF(B13="",A12,IFERROR(VALUE(SUB_ALL(B13,control!$B$3:$B$4,control!$C$3:$C$4)),A12))</f>
        <v>19</v>
      </c>
      <c r="E13" t="str" cm="1">
        <f t="array" ref="E13">IFERROR(prefix&amp;_xlfn.TEXTJOIN(CHAR(10),1,_xlfn._xlws.FILTER($B$7:$B$303,($B$7:$B$303&lt;&gt;"")*($A$7:$A$303=$D13))),"")</f>
        <v/>
      </c>
      <c r="G13" t="str">
        <f>IF(D13="","",D13+control!$B$10)</f>
        <v/>
      </c>
      <c r="H13" t="str">
        <f t="shared" si="0"/>
        <v/>
      </c>
    </row>
    <row r="14" spans="1:8" x14ac:dyDescent="0.35">
      <c r="A14" cm="1">
        <f t="array" ref="A14">IF(B14="",A13,IFERROR(VALUE(SUB_ALL(B14,control!$B$3:$B$4,control!$C$3:$C$4)),A13))</f>
        <v>20</v>
      </c>
      <c r="B14" t="s">
        <v>14</v>
      </c>
      <c r="E14" t="str" cm="1">
        <f t="array" ref="E14">IFERROR(prefix&amp;_xlfn.TEXTJOIN(CHAR(10),1,_xlfn._xlws.FILTER($B$7:$B$303,($B$7:$B$303&lt;&gt;"")*($A$7:$A$303=$D14))),"")</f>
        <v/>
      </c>
      <c r="G14" t="str">
        <f>IF(D14="","",D14+control!$B$10)</f>
        <v/>
      </c>
      <c r="H14" t="str">
        <f t="shared" si="0"/>
        <v/>
      </c>
    </row>
    <row r="15" spans="1:8" x14ac:dyDescent="0.35">
      <c r="A15" cm="1">
        <f t="array" ref="A15">IF(B15="",A14,IFERROR(VALUE(SUB_ALL(B15,control!$B$3:$B$4,control!$C$3:$C$4)),A14))</f>
        <v>20</v>
      </c>
      <c r="B15" t="s">
        <v>19</v>
      </c>
      <c r="E15" t="str" cm="1">
        <f t="array" ref="E15">IFERROR(prefix&amp;_xlfn.TEXTJOIN(CHAR(10),1,_xlfn._xlws.FILTER($B$7:$B$303,($B$7:$B$303&lt;&gt;"")*($A$7:$A$303=$D15))),"")</f>
        <v/>
      </c>
      <c r="G15" t="str">
        <f>IF(D15="","",D15+control!$B$10)</f>
        <v/>
      </c>
      <c r="H15" t="str">
        <f t="shared" si="0"/>
        <v/>
      </c>
    </row>
    <row r="16" spans="1:8" x14ac:dyDescent="0.35">
      <c r="A16" cm="1">
        <f t="array" ref="A16">IF(B16="",A15,IFERROR(VALUE(SUB_ALL(B16,control!$B$3:$B$4,control!$C$3:$C$4)),A15))</f>
        <v>20</v>
      </c>
      <c r="B16" t="s">
        <v>20</v>
      </c>
      <c r="E16" t="str" cm="1">
        <f t="array" ref="E16">IFERROR(prefix&amp;_xlfn.TEXTJOIN(CHAR(10),1,_xlfn._xlws.FILTER($B$7:$B$303,($B$7:$B$303&lt;&gt;"")*($A$7:$A$303=$D16))),"")</f>
        <v/>
      </c>
      <c r="G16" t="str">
        <f>IF(D16="","",D16+control!$B$10)</f>
        <v/>
      </c>
      <c r="H16" t="str">
        <f t="shared" si="0"/>
        <v/>
      </c>
    </row>
    <row r="17" spans="1:8" x14ac:dyDescent="0.35">
      <c r="A17" cm="1">
        <f t="array" ref="A17">IF(B17="",A16,IFERROR(VALUE(SUB_ALL(B17,control!$B$3:$B$4,control!$C$3:$C$4)),A16))</f>
        <v>20</v>
      </c>
      <c r="B17" t="s">
        <v>21</v>
      </c>
      <c r="E17" t="str" cm="1">
        <f t="array" ref="E17">IFERROR(prefix&amp;_xlfn.TEXTJOIN(CHAR(10),1,_xlfn._xlws.FILTER($B$7:$B$303,($B$7:$B$303&lt;&gt;"")*($A$7:$A$303=$D17))),"")</f>
        <v/>
      </c>
      <c r="G17" t="str">
        <f>IF(D17="","",D17+control!$B$10)</f>
        <v/>
      </c>
      <c r="H17" t="str">
        <f t="shared" si="0"/>
        <v/>
      </c>
    </row>
    <row r="18" spans="1:8" x14ac:dyDescent="0.35">
      <c r="A18" cm="1">
        <f t="array" ref="A18">IF(B18="",A17,IFERROR(VALUE(SUB_ALL(B18,control!$B$3:$B$4,control!$C$3:$C$4)),A17))</f>
        <v>20</v>
      </c>
      <c r="E18" t="str" cm="1">
        <f t="array" ref="E18">IFERROR(prefix&amp;_xlfn.TEXTJOIN(CHAR(10),1,_xlfn._xlws.FILTER($B$7:$B$303,($B$7:$B$303&lt;&gt;"")*($A$7:$A$303=$D18))),"")</f>
        <v/>
      </c>
      <c r="G18" t="str">
        <f>IF(D18="","",D18+control!$B$10)</f>
        <v/>
      </c>
      <c r="H18" t="str">
        <f t="shared" si="0"/>
        <v/>
      </c>
    </row>
    <row r="19" spans="1:8" x14ac:dyDescent="0.35">
      <c r="A19" cm="1">
        <f t="array" ref="A19">IF(B19="",A18,IFERROR(VALUE(SUB_ALL(B19,control!$B$3:$B$4,control!$C$3:$C$4)),A18))</f>
        <v>21</v>
      </c>
      <c r="B19" t="s">
        <v>15</v>
      </c>
      <c r="E19" t="str" cm="1">
        <f t="array" ref="E19">IFERROR(prefix&amp;_xlfn.TEXTJOIN(CHAR(10),1,_xlfn._xlws.FILTER($B$7:$B$303,($B$7:$B$303&lt;&gt;"")*($A$7:$A$303=$D19))),"")</f>
        <v/>
      </c>
      <c r="G19" t="str">
        <f>IF(D19="","",D19+control!$B$10)</f>
        <v/>
      </c>
      <c r="H19" t="str">
        <f t="shared" si="0"/>
        <v/>
      </c>
    </row>
    <row r="20" spans="1:8" x14ac:dyDescent="0.35">
      <c r="A20" cm="1">
        <f t="array" ref="A20">IF(B20="",A19,IFERROR(VALUE(SUB_ALL(B20,control!$B$3:$B$4,control!$C$3:$C$4)),A19))</f>
        <v>21</v>
      </c>
      <c r="B20" t="s">
        <v>16</v>
      </c>
      <c r="E20" t="str" cm="1">
        <f t="array" ref="E20">IFERROR(prefix&amp;_xlfn.TEXTJOIN(CHAR(10),1,_xlfn._xlws.FILTER($B$7:$B$303,($B$7:$B$303&lt;&gt;"")*($A$7:$A$303=$D20))),"")</f>
        <v/>
      </c>
      <c r="G20" t="str">
        <f>IF(D20="","",D20+control!$B$10)</f>
        <v/>
      </c>
      <c r="H20" t="str">
        <f t="shared" si="0"/>
        <v/>
      </c>
    </row>
    <row r="21" spans="1:8" x14ac:dyDescent="0.35">
      <c r="A21" cm="1">
        <f t="array" ref="A21">IF(B21="",A20,IFERROR(VALUE(SUB_ALL(B21,control!$B$3:$B$4,control!$C$3:$C$4)),A20))</f>
        <v>21</v>
      </c>
      <c r="E21" t="str" cm="1">
        <f t="array" ref="E21">IFERROR(prefix&amp;_xlfn.TEXTJOIN(CHAR(10),1,_xlfn._xlws.FILTER($B$7:$B$303,($B$7:$B$303&lt;&gt;"")*($A$7:$A$303=$D21))),"")</f>
        <v/>
      </c>
      <c r="G21" t="str">
        <f>IF(D21="","",D21+control!$B$10)</f>
        <v/>
      </c>
      <c r="H21" t="str">
        <f t="shared" si="0"/>
        <v/>
      </c>
    </row>
    <row r="22" spans="1:8" x14ac:dyDescent="0.35">
      <c r="A22" cm="1">
        <f t="array" ref="A22">IF(B22="",A21,IFERROR(VALUE(SUB_ALL(B22,control!$B$3:$B$4,control!$C$3:$C$4)),A21))</f>
        <v>21</v>
      </c>
      <c r="E22" t="str" cm="1">
        <f t="array" ref="E22">IFERROR(prefix&amp;_xlfn.TEXTJOIN(CHAR(10),1,_xlfn._xlws.FILTER($B$7:$B$303,($B$7:$B$303&lt;&gt;"")*($A$7:$A$303=$D22))),"")</f>
        <v/>
      </c>
      <c r="G22" t="str">
        <f>IF(D22="","",D22+control!$B$10)</f>
        <v/>
      </c>
      <c r="H22" t="str">
        <f t="shared" si="0"/>
        <v/>
      </c>
    </row>
    <row r="23" spans="1:8" x14ac:dyDescent="0.35">
      <c r="A23" cm="1">
        <f t="array" ref="A23">IF(B23="",A22,IFERROR(VALUE(SUB_ALL(B23,control!$B$3:$B$4,control!$C$3:$C$4)),A22))</f>
        <v>21</v>
      </c>
      <c r="E23" t="str" cm="1">
        <f t="array" ref="E23">IFERROR(prefix&amp;_xlfn.TEXTJOIN(CHAR(10),1,_xlfn._xlws.FILTER($B$7:$B$303,($B$7:$B$303&lt;&gt;"")*($A$7:$A$303=$D23))),"")</f>
        <v/>
      </c>
      <c r="G23" t="str">
        <f>IF(D23="","",D23+control!$B$10)</f>
        <v/>
      </c>
      <c r="H23" t="str">
        <f t="shared" si="0"/>
        <v/>
      </c>
    </row>
    <row r="24" spans="1:8" x14ac:dyDescent="0.35">
      <c r="A24" cm="1">
        <f t="array" ref="A24">IF(B24="",A23,IFERROR(VALUE(SUB_ALL(B24,control!$B$3:$B$4,control!$C$3:$C$4)),A23))</f>
        <v>21</v>
      </c>
      <c r="E24" t="str" cm="1">
        <f t="array" ref="E24">IFERROR(prefix&amp;_xlfn.TEXTJOIN(CHAR(10),1,_xlfn._xlws.FILTER($B$7:$B$303,($B$7:$B$303&lt;&gt;"")*($A$7:$A$303=$D24))),"")</f>
        <v/>
      </c>
      <c r="G24" t="str">
        <f>IF(D24="","",D24+control!$B$10)</f>
        <v/>
      </c>
      <c r="H24" t="str">
        <f t="shared" si="0"/>
        <v/>
      </c>
    </row>
    <row r="25" spans="1:8" x14ac:dyDescent="0.35">
      <c r="A25" cm="1">
        <f t="array" ref="A25">IF(B25="",A24,IFERROR(VALUE(SUB_ALL(B25,control!$B$3:$B$4,control!$C$3:$C$4)),A24))</f>
        <v>21</v>
      </c>
      <c r="E25" t="str" cm="1">
        <f t="array" ref="E25">IFERROR(prefix&amp;_xlfn.TEXTJOIN(CHAR(10),1,_xlfn._xlws.FILTER($B$7:$B$303,($B$7:$B$303&lt;&gt;"")*($A$7:$A$303=$D25))),"")</f>
        <v/>
      </c>
      <c r="G25" t="str">
        <f>IF(D25="","",D25+control!$B$10)</f>
        <v/>
      </c>
      <c r="H25" t="str">
        <f t="shared" si="0"/>
        <v/>
      </c>
    </row>
    <row r="26" spans="1:8" x14ac:dyDescent="0.35">
      <c r="A26" cm="1">
        <f t="array" ref="A26">IF(B26="",A25,IFERROR(VALUE(SUB_ALL(B26,control!$B$3:$B$4,control!$C$3:$C$4)),A25))</f>
        <v>21</v>
      </c>
      <c r="E26" t="str" cm="1">
        <f t="array" ref="E26">IFERROR(prefix&amp;_xlfn.TEXTJOIN(CHAR(10),1,_xlfn._xlws.FILTER($B$7:$B$303,($B$7:$B$303&lt;&gt;"")*($A$7:$A$303=$D26))),"")</f>
        <v/>
      </c>
      <c r="G26" t="str">
        <f>IF(D26="","",D26+control!$B$10)</f>
        <v/>
      </c>
      <c r="H26" t="str">
        <f t="shared" si="0"/>
        <v/>
      </c>
    </row>
    <row r="27" spans="1:8" x14ac:dyDescent="0.35">
      <c r="A27" cm="1">
        <f t="array" ref="A27">IF(B27="",A26,IFERROR(VALUE(SUB_ALL(B27,control!$B$3:$B$4,control!$C$3:$C$4)),A26))</f>
        <v>21</v>
      </c>
      <c r="E27" t="str" cm="1">
        <f t="array" ref="E27">IFERROR(prefix&amp;_xlfn.TEXTJOIN(CHAR(10),1,_xlfn._xlws.FILTER($B$7:$B$303,($B$7:$B$303&lt;&gt;"")*($A$7:$A$303=$D27))),"")</f>
        <v/>
      </c>
      <c r="G27" t="str">
        <f>IF(D27="","",D27+control!$B$10)</f>
        <v/>
      </c>
      <c r="H27" t="str">
        <f t="shared" si="0"/>
        <v/>
      </c>
    </row>
    <row r="28" spans="1:8" x14ac:dyDescent="0.35">
      <c r="A28" cm="1">
        <f t="array" ref="A28">IF(B28="",A27,IFERROR(VALUE(SUB_ALL(B28,control!$B$3:$B$4,control!$C$3:$C$4)),A27))</f>
        <v>21</v>
      </c>
    </row>
    <row r="29" spans="1:8" x14ac:dyDescent="0.35">
      <c r="A29" cm="1">
        <f t="array" ref="A29">IF(B29="",A28,IFERROR(VALUE(SUB_ALL(B29,control!$B$3:$B$4,control!$C$3:$C$4)),A28))</f>
        <v>21</v>
      </c>
    </row>
    <row r="30" spans="1:8" x14ac:dyDescent="0.35">
      <c r="A30" cm="1">
        <f t="array" ref="A30">IF(B30="",A29,IFERROR(VALUE(SUB_ALL(B30,control!$B$3:$B$4,control!$C$3:$C$4)),A29))</f>
        <v>21</v>
      </c>
    </row>
    <row r="31" spans="1:8" x14ac:dyDescent="0.35">
      <c r="A31" cm="1">
        <f t="array" ref="A31">IF(B31="",A30,IFERROR(VALUE(SUB_ALL(B31,control!$B$3:$B$4,control!$C$3:$C$4)),A30))</f>
        <v>21</v>
      </c>
    </row>
    <row r="32" spans="1:8" x14ac:dyDescent="0.35">
      <c r="A32" cm="1">
        <f t="array" ref="A32">IF(B32="",A31,IFERROR(VALUE(SUB_ALL(B32,control!$B$3:$B$4,control!$C$3:$C$4)),A31))</f>
        <v>21</v>
      </c>
    </row>
    <row r="33" spans="1:1" x14ac:dyDescent="0.35">
      <c r="A33" cm="1">
        <f t="array" ref="A33">IF(B33="",A32,IFERROR(VALUE(SUB_ALL(B33,control!$B$3:$B$4,control!$C$3:$C$4)),A32))</f>
        <v>21</v>
      </c>
    </row>
    <row r="34" spans="1:1" x14ac:dyDescent="0.35">
      <c r="A34" cm="1">
        <f t="array" ref="A34">IF(B34="",A32,IFERROR(VALUE(SUB_ALL(B34,control!$B$3:$B$4,control!$C$3:$C$4)),A32))</f>
        <v>21</v>
      </c>
    </row>
    <row r="35" spans="1:1" x14ac:dyDescent="0.35">
      <c r="A35" cm="1">
        <f t="array" ref="A35">IF(B35="",A34,IFERROR(VALUE(SUB_ALL(B35,control!$B$3:$B$4,control!$C$3:$C$4)),A34))</f>
        <v>21</v>
      </c>
    </row>
    <row r="36" spans="1:1" x14ac:dyDescent="0.35">
      <c r="A36" cm="1">
        <f t="array" ref="A36">IF(B36="",A35,IFERROR(VALUE(SUB_ALL(B36,control!$B$3:$B$4,control!$C$3:$C$4)),A35))</f>
        <v>21</v>
      </c>
    </row>
    <row r="37" spans="1:1" x14ac:dyDescent="0.35">
      <c r="A37" cm="1">
        <f t="array" ref="A37">IF(B37="",A36,IFERROR(VALUE(SUB_ALL(B37,control!$B$3:$B$4,control!$C$3:$C$4)),A36))</f>
        <v>21</v>
      </c>
    </row>
    <row r="38" spans="1:1" x14ac:dyDescent="0.35">
      <c r="A38" cm="1">
        <f t="array" ref="A38">IF(B38="",A37,IFERROR(VALUE(SUB_ALL(B38,control!$B$3:$B$4,control!$C$3:$C$4)),A37))</f>
        <v>21</v>
      </c>
    </row>
    <row r="39" spans="1:1" x14ac:dyDescent="0.35">
      <c r="A39" cm="1">
        <f t="array" ref="A39">IF(B39="",A38,IFERROR(VALUE(SUB_ALL(B39,control!$B$3:$B$4,control!$C$3:$C$4)),A38))</f>
        <v>21</v>
      </c>
    </row>
    <row r="40" spans="1:1" x14ac:dyDescent="0.35">
      <c r="A40" cm="1">
        <f t="array" ref="A40">IF(B40="",A39,IFERROR(VALUE(SUB_ALL(B40,control!$B$3:$B$4,control!$C$3:$C$4)),A39))</f>
        <v>21</v>
      </c>
    </row>
    <row r="41" spans="1:1" x14ac:dyDescent="0.35">
      <c r="A41" cm="1">
        <f t="array" ref="A41">IF(B41="",A40,IFERROR(VALUE(SUB_ALL(B41,control!$B$3:$B$4,control!$C$3:$C$4)),A40))</f>
        <v>21</v>
      </c>
    </row>
    <row r="42" spans="1:1" x14ac:dyDescent="0.35">
      <c r="A42" cm="1">
        <f t="array" ref="A42">IF(B42="",A41,IFERROR(VALUE(SUB_ALL(B42,control!$B$3:$B$4,control!$C$3:$C$4)),A41))</f>
        <v>21</v>
      </c>
    </row>
    <row r="43" spans="1:1" x14ac:dyDescent="0.35">
      <c r="A43" cm="1">
        <f t="array" ref="A43">IF(B43="",A42,IFERROR(VALUE(SUB_ALL(B43,control!$B$3:$B$4,control!$C$3:$C$4)),A42))</f>
        <v>21</v>
      </c>
    </row>
    <row r="44" spans="1:1" x14ac:dyDescent="0.35">
      <c r="A44" cm="1">
        <f t="array" ref="A44">IF(B44="",A43,IFERROR(VALUE(SUB_ALL(B44,control!$B$3:$B$4,control!$C$3:$C$4)),A43))</f>
        <v>21</v>
      </c>
    </row>
    <row r="45" spans="1:1" x14ac:dyDescent="0.35">
      <c r="A45" cm="1">
        <f t="array" ref="A45">IF(B45="",A44,IFERROR(VALUE(SUB_ALL(B45,control!$B$3:$B$4,control!$C$3:$C$4)),A44))</f>
        <v>21</v>
      </c>
    </row>
    <row r="46" spans="1:1" x14ac:dyDescent="0.35">
      <c r="A46" cm="1">
        <f t="array" ref="A46">IF(B46="",A45,IFERROR(VALUE(SUB_ALL(B46,control!$B$3:$B$4,control!$C$3:$C$4)),A45))</f>
        <v>21</v>
      </c>
    </row>
    <row r="47" spans="1:1" x14ac:dyDescent="0.35">
      <c r="A47" cm="1">
        <f t="array" ref="A47">IF(B47="",A46,IFERROR(VALUE(SUB_ALL(B47,control!$B$3:$B$4,control!$C$3:$C$4)),A46))</f>
        <v>21</v>
      </c>
    </row>
    <row r="48" spans="1:1" x14ac:dyDescent="0.35">
      <c r="A48" cm="1">
        <f t="array" ref="A48">IF(B48="",A47,IFERROR(VALUE(SUB_ALL(B48,control!$B$3:$B$4,control!$C$3:$C$4)),A47))</f>
        <v>21</v>
      </c>
    </row>
    <row r="49" spans="1:1" x14ac:dyDescent="0.35">
      <c r="A49" cm="1">
        <f t="array" ref="A49">IF(B49="",A48,IFERROR(VALUE(SUB_ALL(B49,control!$B$3:$B$4,control!$C$3:$C$4)),A48))</f>
        <v>21</v>
      </c>
    </row>
    <row r="50" spans="1:1" x14ac:dyDescent="0.35">
      <c r="A50" cm="1">
        <f t="array" ref="A50">IF(B50="",A49,IFERROR(VALUE(SUB_ALL(B50,control!$B$3:$B$4,control!$C$3:$C$4)),A49))</f>
        <v>21</v>
      </c>
    </row>
    <row r="51" spans="1:1" x14ac:dyDescent="0.35">
      <c r="A51" cm="1">
        <f t="array" ref="A51">IF(B51="",A50,IFERROR(VALUE(SUB_ALL(B51,control!$B$3:$B$4,control!$C$3:$C$4)),A50))</f>
        <v>21</v>
      </c>
    </row>
    <row r="52" spans="1:1" x14ac:dyDescent="0.35">
      <c r="A52" cm="1">
        <f t="array" ref="A52">IF(B52="",A51,IFERROR(VALUE(SUB_ALL(B52,control!$B$3:$B$4,control!$C$3:$C$4)),A51))</f>
        <v>21</v>
      </c>
    </row>
    <row r="53" spans="1:1" x14ac:dyDescent="0.35">
      <c r="A53" cm="1">
        <f t="array" ref="A53">IF(B53="",A52,IFERROR(VALUE(SUB_ALL(B53,control!$B$3:$B$4,control!$C$3:$C$4)),A52))</f>
        <v>21</v>
      </c>
    </row>
    <row r="54" spans="1:1" x14ac:dyDescent="0.35">
      <c r="A54" cm="1">
        <f t="array" ref="A54">IF(B54="",A53,IFERROR(VALUE(SUB_ALL(B54,control!$B$3:$B$4,control!$C$3:$C$4)),A53))</f>
        <v>21</v>
      </c>
    </row>
    <row r="55" spans="1:1" x14ac:dyDescent="0.35">
      <c r="A55" cm="1">
        <f t="array" ref="A55">IF(B55="",A54,IFERROR(VALUE(SUB_ALL(B55,control!$B$3:$B$4,control!$C$3:$C$4)),A54))</f>
        <v>21</v>
      </c>
    </row>
    <row r="56" spans="1:1" x14ac:dyDescent="0.35">
      <c r="A56" cm="1">
        <f t="array" ref="A56">IF(B56="",A55,IFERROR(VALUE(SUB_ALL(B56,control!$B$3:$B$4,control!$C$3:$C$4)),A55))</f>
        <v>21</v>
      </c>
    </row>
    <row r="57" spans="1:1" x14ac:dyDescent="0.35">
      <c r="A57" cm="1">
        <f t="array" ref="A57">IF(B57="",A56,IFERROR(VALUE(SUB_ALL(B57,control!$B$3:$B$4,control!$C$3:$C$4)),A56))</f>
        <v>21</v>
      </c>
    </row>
    <row r="58" spans="1:1" x14ac:dyDescent="0.35">
      <c r="A58" cm="1">
        <f t="array" ref="A58">IF(B58="",A57,IFERROR(VALUE(SUB_ALL(B58,control!$B$3:$B$4,control!$C$3:$C$4)),A57))</f>
        <v>21</v>
      </c>
    </row>
    <row r="59" spans="1:1" x14ac:dyDescent="0.35">
      <c r="A59" cm="1">
        <f t="array" ref="A59">IF(B59="",A58,IFERROR(VALUE(SUB_ALL(B59,control!$B$3:$B$4,control!$C$3:$C$4)),A58))</f>
        <v>21</v>
      </c>
    </row>
    <row r="60" spans="1:1" x14ac:dyDescent="0.35">
      <c r="A60" cm="1">
        <f t="array" ref="A60">IF(B60="",A59,IFERROR(VALUE(SUB_ALL(B60,control!$B$3:$B$4,control!$C$3:$C$4)),A59))</f>
        <v>21</v>
      </c>
    </row>
    <row r="61" spans="1:1" x14ac:dyDescent="0.35">
      <c r="A61" cm="1">
        <f t="array" ref="A61">IF(B61="",A60,IFERROR(VALUE(SUB_ALL(B61,control!$B$3:$B$4,control!$C$3:$C$4)),A60))</f>
        <v>21</v>
      </c>
    </row>
    <row r="62" spans="1:1" x14ac:dyDescent="0.35">
      <c r="A62" cm="1">
        <f t="array" ref="A62">IF(B62="",A61,IFERROR(VALUE(SUB_ALL(B62,control!$B$3:$B$4,control!$C$3:$C$4)),A61))</f>
        <v>21</v>
      </c>
    </row>
    <row r="63" spans="1:1" x14ac:dyDescent="0.35">
      <c r="A63" cm="1">
        <f t="array" ref="A63">IF(B63="",A62,IFERROR(VALUE(SUB_ALL(B63,control!$B$3:$B$4,control!$C$3:$C$4)),A62))</f>
        <v>21</v>
      </c>
    </row>
    <row r="64" spans="1:1" x14ac:dyDescent="0.35">
      <c r="A64" cm="1">
        <f t="array" ref="A64">IF(B64="",A63,IFERROR(VALUE(SUB_ALL(B64,control!$B$3:$B$4,control!$C$3:$C$4)),A63))</f>
        <v>21</v>
      </c>
    </row>
    <row r="65" spans="1:1" x14ac:dyDescent="0.35">
      <c r="A65" cm="1">
        <f t="array" ref="A65">IF(B65="",A64,IFERROR(VALUE(SUB_ALL(B65,control!$B$3:$B$4,control!$C$3:$C$4)),A64))</f>
        <v>21</v>
      </c>
    </row>
    <row r="66" spans="1:1" x14ac:dyDescent="0.35">
      <c r="A66" cm="1">
        <f t="array" ref="A66">IF(B66="",A65,IFERROR(VALUE(SUB_ALL(B66,control!$B$3:$B$4,control!$C$3:$C$4)),A65))</f>
        <v>21</v>
      </c>
    </row>
    <row r="67" spans="1:1" x14ac:dyDescent="0.35">
      <c r="A67" cm="1">
        <f t="array" ref="A67">IF(B67="",A66,IFERROR(VALUE(SUB_ALL(B67,control!$B$3:$B$4,control!$C$3:$C$4)),A66))</f>
        <v>21</v>
      </c>
    </row>
    <row r="68" spans="1:1" x14ac:dyDescent="0.35">
      <c r="A68" cm="1">
        <f t="array" ref="A68">IF(B68="",A67,IFERROR(VALUE(SUB_ALL(B68,control!$B$3:$B$4,control!$C$3:$C$4)),A67))</f>
        <v>21</v>
      </c>
    </row>
    <row r="69" spans="1:1" x14ac:dyDescent="0.35">
      <c r="A69" cm="1">
        <f t="array" ref="A69">IF(B69="",A68,IFERROR(VALUE(SUB_ALL(B69,control!$B$3:$B$4,control!$C$3:$C$4)),A68))</f>
        <v>21</v>
      </c>
    </row>
    <row r="70" spans="1:1" x14ac:dyDescent="0.35">
      <c r="A70" cm="1">
        <f t="array" ref="A70">IF(B70="",A69,IFERROR(VALUE(SUB_ALL(B70,control!$B$3:$B$4,control!$C$3:$C$4)),A69))</f>
        <v>21</v>
      </c>
    </row>
    <row r="71" spans="1:1" x14ac:dyDescent="0.35">
      <c r="A71" cm="1">
        <f t="array" ref="A71">IF(B71="",A70,IFERROR(VALUE(SUB_ALL(B71,control!$B$3:$B$4,control!$C$3:$C$4)),A70))</f>
        <v>21</v>
      </c>
    </row>
    <row r="72" spans="1:1" x14ac:dyDescent="0.35">
      <c r="A72" cm="1">
        <f t="array" ref="A72">IF(B72="",A71,IFERROR(VALUE(SUB_ALL(B72,control!$B$3:$B$4,control!$C$3:$C$4)),A71))</f>
        <v>21</v>
      </c>
    </row>
    <row r="73" spans="1:1" x14ac:dyDescent="0.35">
      <c r="A73" cm="1">
        <f t="array" ref="A73">IF(B73="",A72,IFERROR(VALUE(SUB_ALL(B73,control!$B$3:$B$4,control!$C$3:$C$4)),A72))</f>
        <v>21</v>
      </c>
    </row>
    <row r="74" spans="1:1" x14ac:dyDescent="0.35">
      <c r="A74" cm="1">
        <f t="array" ref="A74">IF(B74="",A73,IFERROR(VALUE(SUB_ALL(B74,control!$B$3:$B$4,control!$C$3:$C$4)),A73))</f>
        <v>21</v>
      </c>
    </row>
    <row r="75" spans="1:1" x14ac:dyDescent="0.35">
      <c r="A75" cm="1">
        <f t="array" ref="A75">IF(B75="",A74,IFERROR(VALUE(SUB_ALL(B75,control!$B$3:$B$4,control!$C$3:$C$4)),A74))</f>
        <v>21</v>
      </c>
    </row>
    <row r="76" spans="1:1" x14ac:dyDescent="0.35">
      <c r="A76" cm="1">
        <f t="array" ref="A76">IF(B76="",A75,IFERROR(VALUE(SUB_ALL(B76,control!$B$3:$B$4,control!$C$3:$C$4)),A75))</f>
        <v>21</v>
      </c>
    </row>
    <row r="77" spans="1:1" x14ac:dyDescent="0.35">
      <c r="A77" cm="1">
        <f t="array" ref="A77">IF(B77="",A76,IFERROR(VALUE(SUB_ALL(B77,control!$B$3:$B$4,control!$C$3:$C$4)),A76))</f>
        <v>21</v>
      </c>
    </row>
    <row r="78" spans="1:1" x14ac:dyDescent="0.35">
      <c r="A78" cm="1">
        <f t="array" ref="A78">IF(B78="",A77,IFERROR(VALUE(SUB_ALL(B78,control!$B$3:$B$4,control!$C$3:$C$4)),A77))</f>
        <v>21</v>
      </c>
    </row>
    <row r="79" spans="1:1" x14ac:dyDescent="0.35">
      <c r="A79" cm="1">
        <f t="array" ref="A79">IF(B79="",A78,IFERROR(VALUE(SUB_ALL(B79,control!$B$3:$B$4,control!$C$3:$C$4)),A78))</f>
        <v>21</v>
      </c>
    </row>
    <row r="80" spans="1:1" x14ac:dyDescent="0.35">
      <c r="A80" cm="1">
        <f t="array" ref="A80">IF(B80="",A79,IFERROR(VALUE(SUB_ALL(B80,control!$B$3:$B$4,control!$C$3:$C$4)),A79))</f>
        <v>21</v>
      </c>
    </row>
    <row r="81" spans="1:1" x14ac:dyDescent="0.35">
      <c r="A81" cm="1">
        <f t="array" ref="A81">IF(B81="",A80,IFERROR(VALUE(SUB_ALL(B81,control!$B$3:$B$4,control!$C$3:$C$4)),A80))</f>
        <v>21</v>
      </c>
    </row>
    <row r="82" spans="1:1" x14ac:dyDescent="0.35">
      <c r="A82" cm="1">
        <f t="array" ref="A82">IF(B82="",A81,IFERROR(VALUE(SUB_ALL(B82,control!$B$3:$B$4,control!$C$3:$C$4)),A81))</f>
        <v>21</v>
      </c>
    </row>
    <row r="83" spans="1:1" x14ac:dyDescent="0.35">
      <c r="A83" cm="1">
        <f t="array" ref="A83">IF(B83="",A82,IFERROR(VALUE(SUB_ALL(B83,control!$B$3:$B$4,control!$C$3:$C$4)),A82))</f>
        <v>21</v>
      </c>
    </row>
    <row r="84" spans="1:1" x14ac:dyDescent="0.35">
      <c r="A84" cm="1">
        <f t="array" ref="A84">IF(B84="",A83,IFERROR(VALUE(SUB_ALL(B84,control!$B$3:$B$4,control!$C$3:$C$4)),A83))</f>
        <v>21</v>
      </c>
    </row>
    <row r="85" spans="1:1" x14ac:dyDescent="0.35">
      <c r="A85" cm="1">
        <f t="array" ref="A85">IF(B85="",A84,IFERROR(VALUE(SUB_ALL(B85,control!$B$3:$B$4,control!$C$3:$C$4)),A84))</f>
        <v>21</v>
      </c>
    </row>
    <row r="86" spans="1:1" x14ac:dyDescent="0.35">
      <c r="A86" cm="1">
        <f t="array" ref="A86">IF(B86="",A85,IFERROR(VALUE(SUB_ALL(B86,control!$B$3:$B$4,control!$C$3:$C$4)),A85))</f>
        <v>21</v>
      </c>
    </row>
    <row r="87" spans="1:1" x14ac:dyDescent="0.35">
      <c r="A87" cm="1">
        <f t="array" ref="A87">IF(B87="",A86,IFERROR(VALUE(SUB_ALL(B87,control!$B$3:$B$4,control!$C$3:$C$4)),A86))</f>
        <v>21</v>
      </c>
    </row>
    <row r="88" spans="1:1" x14ac:dyDescent="0.35">
      <c r="A88" cm="1">
        <f t="array" ref="A88">IF(B88="",A87,IFERROR(VALUE(SUB_ALL(B88,control!$B$3:$B$4,control!$C$3:$C$4)),A87))</f>
        <v>21</v>
      </c>
    </row>
    <row r="89" spans="1:1" x14ac:dyDescent="0.35">
      <c r="A89" cm="1">
        <f t="array" ref="A89">IF(B89="",A88,IFERROR(VALUE(SUB_ALL(B89,control!$B$3:$B$4,control!$C$3:$C$4)),A88))</f>
        <v>21</v>
      </c>
    </row>
    <row r="90" spans="1:1" x14ac:dyDescent="0.35">
      <c r="A90" cm="1">
        <f t="array" ref="A90">IF(B90="",A89,IFERROR(VALUE(SUB_ALL(B90,control!$B$3:$B$4,control!$C$3:$C$4)),A89))</f>
        <v>21</v>
      </c>
    </row>
    <row r="91" spans="1:1" x14ac:dyDescent="0.35">
      <c r="A91" cm="1">
        <f t="array" ref="A91">IF(B91="",A90,IFERROR(VALUE(SUB_ALL(B91,control!$B$3:$B$4,control!$C$3:$C$4)),A90))</f>
        <v>21</v>
      </c>
    </row>
    <row r="92" spans="1:1" x14ac:dyDescent="0.35">
      <c r="A92" cm="1">
        <f t="array" ref="A92">IF(B92="",A91,IFERROR(VALUE(SUB_ALL(B92,control!$B$3:$B$4,control!$C$3:$C$4)),A91))</f>
        <v>21</v>
      </c>
    </row>
    <row r="93" spans="1:1" x14ac:dyDescent="0.35">
      <c r="A93" cm="1">
        <f t="array" ref="A93">IF(B93="",A92,IFERROR(VALUE(SUB_ALL(B93,control!$B$3:$B$4,control!$C$3:$C$4)),A92))</f>
        <v>21</v>
      </c>
    </row>
    <row r="94" spans="1:1" x14ac:dyDescent="0.35">
      <c r="A94" cm="1">
        <f t="array" ref="A94">IF(B94="",A93,IFERROR(VALUE(SUB_ALL(B94,control!$B$3:$B$4,control!$C$3:$C$4)),A93))</f>
        <v>21</v>
      </c>
    </row>
    <row r="95" spans="1:1" x14ac:dyDescent="0.35">
      <c r="A95" cm="1">
        <f t="array" ref="A95">IF(B95="",A94,IFERROR(VALUE(SUB_ALL(B95,control!$B$3:$B$4,control!$C$3:$C$4)),A94))</f>
        <v>21</v>
      </c>
    </row>
    <row r="96" spans="1:1" x14ac:dyDescent="0.35">
      <c r="A96" cm="1">
        <f t="array" ref="A96">IF(B96="",A95,IFERROR(VALUE(SUB_ALL(B96,control!$B$3:$B$4,control!$C$3:$C$4)),A95))</f>
        <v>21</v>
      </c>
    </row>
    <row r="97" spans="1:1" x14ac:dyDescent="0.35">
      <c r="A97" cm="1">
        <f t="array" ref="A97">IF(B97="",A96,IFERROR(VALUE(SUB_ALL(B97,control!$B$3:$B$4,control!$C$3:$C$4)),A96))</f>
        <v>21</v>
      </c>
    </row>
    <row r="98" spans="1:1" x14ac:dyDescent="0.35">
      <c r="A98" cm="1">
        <f t="array" ref="A98">IF(B98="",A97,IFERROR(VALUE(SUB_ALL(B98,control!$B$3:$B$4,control!$C$3:$C$4)),A97))</f>
        <v>21</v>
      </c>
    </row>
    <row r="99" spans="1:1" x14ac:dyDescent="0.35">
      <c r="A99" cm="1">
        <f t="array" ref="A99">IF(B99="",A98,IFERROR(VALUE(SUB_ALL(B99,control!$B$3:$B$4,control!$C$3:$C$4)),A98))</f>
        <v>21</v>
      </c>
    </row>
    <row r="100" spans="1:1" x14ac:dyDescent="0.35">
      <c r="A100" cm="1">
        <f t="array" ref="A100">IF(B100="",A99,IFERROR(VALUE(SUB_ALL(B100,control!$B$3:$B$4,control!$C$3:$C$4)),A99))</f>
        <v>21</v>
      </c>
    </row>
    <row r="101" spans="1:1" x14ac:dyDescent="0.35">
      <c r="A101" cm="1">
        <f t="array" ref="A101">IF(B101="",A100,IFERROR(VALUE(SUB_ALL(B101,control!$B$3:$B$4,control!$C$3:$C$4)),A100))</f>
        <v>21</v>
      </c>
    </row>
    <row r="102" spans="1:1" x14ac:dyDescent="0.35">
      <c r="A102" cm="1">
        <f t="array" ref="A102">IF(B102="",A101,IFERROR(VALUE(SUB_ALL(B102,control!$B$3:$B$4,control!$C$3:$C$4)),A101))</f>
        <v>21</v>
      </c>
    </row>
    <row r="103" spans="1:1" x14ac:dyDescent="0.35">
      <c r="A103" cm="1">
        <f t="array" ref="A103">IF(B103="",A102,IFERROR(VALUE(SUB_ALL(B103,control!$B$3:$B$4,control!$C$3:$C$4)),A102))</f>
        <v>21</v>
      </c>
    </row>
    <row r="104" spans="1:1" x14ac:dyDescent="0.35">
      <c r="A104" cm="1">
        <f t="array" ref="A104">IF(B104="",A103,IFERROR(VALUE(SUB_ALL(B104,control!$B$3:$B$4,control!$C$3:$C$4)),A103))</f>
        <v>21</v>
      </c>
    </row>
    <row r="105" spans="1:1" x14ac:dyDescent="0.35">
      <c r="A105" cm="1">
        <f t="array" ref="A105">IF(B105="",A104,IFERROR(VALUE(SUB_ALL(B105,control!$B$3:$B$4,control!$C$3:$C$4)),A104))</f>
        <v>21</v>
      </c>
    </row>
    <row r="106" spans="1:1" x14ac:dyDescent="0.35">
      <c r="A106" cm="1">
        <f t="array" ref="A106">IF(B106="",A105,IFERROR(VALUE(SUB_ALL(B106,control!$B$3:$B$4,control!$C$3:$C$4)),A105))</f>
        <v>21</v>
      </c>
    </row>
    <row r="107" spans="1:1" x14ac:dyDescent="0.35">
      <c r="A107" cm="1">
        <f t="array" ref="A107">IF(B107="",A106,IFERROR(VALUE(SUB_ALL(B107,control!$B$3:$B$4,control!$C$3:$C$4)),A106))</f>
        <v>21</v>
      </c>
    </row>
    <row r="108" spans="1:1" x14ac:dyDescent="0.35">
      <c r="A108" cm="1">
        <f t="array" ref="A108">IF(B108="",A107,IFERROR(VALUE(SUB_ALL(B108,control!$B$3:$B$4,control!$C$3:$C$4)),A107))</f>
        <v>21</v>
      </c>
    </row>
    <row r="109" spans="1:1" x14ac:dyDescent="0.35">
      <c r="A109" cm="1">
        <f t="array" ref="A109">IF(B109="",A108,IFERROR(VALUE(SUB_ALL(B109,control!$B$3:$B$4,control!$C$3:$C$4)),A108))</f>
        <v>21</v>
      </c>
    </row>
    <row r="110" spans="1:1" x14ac:dyDescent="0.35">
      <c r="A110" cm="1">
        <f t="array" ref="A110">IF(B110="",A109,IFERROR(VALUE(SUB_ALL(B110,control!$B$3:$B$4,control!$C$3:$C$4)),A109))</f>
        <v>21</v>
      </c>
    </row>
    <row r="111" spans="1:1" x14ac:dyDescent="0.35">
      <c r="A111" cm="1">
        <f t="array" ref="A111">IF(B111="",A110,IFERROR(VALUE(SUB_ALL(B111,control!$B$3:$B$4,control!$C$3:$C$4)),A110))</f>
        <v>21</v>
      </c>
    </row>
    <row r="112" spans="1:1" x14ac:dyDescent="0.35">
      <c r="A112" cm="1">
        <f t="array" ref="A112">IF(B112="",A111,IFERROR(VALUE(SUB_ALL(B112,control!$B$3:$B$4,control!$C$3:$C$4)),A111))</f>
        <v>21</v>
      </c>
    </row>
    <row r="113" spans="1:1" x14ac:dyDescent="0.35">
      <c r="A113" cm="1">
        <f t="array" ref="A113">IF(B113="",A112,IFERROR(VALUE(SUB_ALL(B113,control!$B$3:$B$4,control!$C$3:$C$4)),A112))</f>
        <v>21</v>
      </c>
    </row>
    <row r="114" spans="1:1" x14ac:dyDescent="0.35">
      <c r="A114" cm="1">
        <f t="array" ref="A114">IF(B114="",A113,IFERROR(VALUE(SUB_ALL(B114,control!$B$3:$B$4,control!$C$3:$C$4)),A113))</f>
        <v>21</v>
      </c>
    </row>
    <row r="115" spans="1:1" x14ac:dyDescent="0.35">
      <c r="A115" cm="1">
        <f t="array" ref="A115">IF(B115="",A114,IFERROR(VALUE(SUB_ALL(B115,control!$B$3:$B$4,control!$C$3:$C$4)),A114))</f>
        <v>21</v>
      </c>
    </row>
    <row r="116" spans="1:1" x14ac:dyDescent="0.35">
      <c r="A116" cm="1">
        <f t="array" ref="A116">IF(B116="",A115,IFERROR(VALUE(SUB_ALL(B116,control!$B$3:$B$4,control!$C$3:$C$4)),A115))</f>
        <v>21</v>
      </c>
    </row>
    <row r="117" spans="1:1" x14ac:dyDescent="0.35">
      <c r="A117" cm="1">
        <f t="array" ref="A117">IF(B117="",A116,IFERROR(VALUE(SUB_ALL(B117,control!$B$3:$B$4,control!$C$3:$C$4)),A116))</f>
        <v>21</v>
      </c>
    </row>
    <row r="118" spans="1:1" x14ac:dyDescent="0.35">
      <c r="A118" cm="1">
        <f t="array" ref="A118">IF(B118="",A117,IFERROR(VALUE(SUB_ALL(B118,control!$B$3:$B$4,control!$C$3:$C$4)),A117))</f>
        <v>21</v>
      </c>
    </row>
    <row r="119" spans="1:1" x14ac:dyDescent="0.35">
      <c r="A119" cm="1">
        <f t="array" ref="A119">IF(B119="",A118,IFERROR(VALUE(SUB_ALL(B119,control!$B$3:$B$4,control!$C$3:$C$4)),A118))</f>
        <v>21</v>
      </c>
    </row>
    <row r="120" spans="1:1" x14ac:dyDescent="0.35">
      <c r="A120" cm="1">
        <f t="array" ref="A120">IF(B120="",A119,IFERROR(VALUE(SUB_ALL(B120,control!$B$3:$B$4,control!$C$3:$C$4)),A119))</f>
        <v>21</v>
      </c>
    </row>
    <row r="121" spans="1:1" x14ac:dyDescent="0.35">
      <c r="A121" cm="1">
        <f t="array" ref="A121">IF(B121="",A120,IFERROR(VALUE(SUB_ALL(B121,control!$B$3:$B$4,control!$C$3:$C$4)),A120))</f>
        <v>21</v>
      </c>
    </row>
    <row r="122" spans="1:1" x14ac:dyDescent="0.35">
      <c r="A122" cm="1">
        <f t="array" ref="A122">IF(B122="",A121,IFERROR(VALUE(SUB_ALL(B122,control!$B$3:$B$4,control!$C$3:$C$4)),A121))</f>
        <v>21</v>
      </c>
    </row>
    <row r="123" spans="1:1" x14ac:dyDescent="0.35">
      <c r="A123" cm="1">
        <f t="array" ref="A123">IF(B123="",A122,IFERROR(VALUE(SUB_ALL(B123,control!$B$3:$B$4,control!$C$3:$C$4)),A122))</f>
        <v>21</v>
      </c>
    </row>
    <row r="124" spans="1:1" x14ac:dyDescent="0.35">
      <c r="A124" cm="1">
        <f t="array" ref="A124">IF(B124="",A123,IFERROR(VALUE(SUB_ALL(B124,control!$B$3:$B$4,control!$C$3:$C$4)),A123))</f>
        <v>21</v>
      </c>
    </row>
    <row r="125" spans="1:1" x14ac:dyDescent="0.35">
      <c r="A125" cm="1">
        <f t="array" ref="A125">IF(B125="",A124,IFERROR(VALUE(SUB_ALL(B125,control!$B$3:$B$4,control!$C$3:$C$4)),A124))</f>
        <v>21</v>
      </c>
    </row>
    <row r="126" spans="1:1" x14ac:dyDescent="0.35">
      <c r="A126" cm="1">
        <f t="array" ref="A126">IF(B126="",A125,IFERROR(VALUE(SUB_ALL(B126,control!$B$3:$B$4,control!$C$3:$C$4)),A125))</f>
        <v>21</v>
      </c>
    </row>
    <row r="127" spans="1:1" x14ac:dyDescent="0.35">
      <c r="A127" cm="1">
        <f t="array" ref="A127">IF(B127="",A126,IFERROR(VALUE(SUB_ALL(B127,control!$B$3:$B$4,control!$C$3:$C$4)),A126))</f>
        <v>21</v>
      </c>
    </row>
    <row r="128" spans="1:1" x14ac:dyDescent="0.35">
      <c r="A128" cm="1">
        <f t="array" ref="A128">IF(B128="",A127,IFERROR(VALUE(SUB_ALL(B128,control!$B$3:$B$4,control!$C$3:$C$4)),A127))</f>
        <v>21</v>
      </c>
    </row>
    <row r="129" spans="1:1" x14ac:dyDescent="0.35">
      <c r="A129" cm="1">
        <f t="array" ref="A129">IF(B129="",A128,IFERROR(VALUE(SUB_ALL(B129,control!$B$3:$B$4,control!$C$3:$C$4)),A128))</f>
        <v>21</v>
      </c>
    </row>
    <row r="130" spans="1:1" x14ac:dyDescent="0.35">
      <c r="A130" cm="1">
        <f t="array" ref="A130">IF(B130="",A129,IFERROR(VALUE(SUB_ALL(B130,control!$B$3:$B$4,control!$C$3:$C$4)),A129))</f>
        <v>21</v>
      </c>
    </row>
    <row r="131" spans="1:1" x14ac:dyDescent="0.35">
      <c r="A131" cm="1">
        <f t="array" ref="A131">IF(B131="",A130,IFERROR(VALUE(SUB_ALL(B131,control!$B$3:$B$4,control!$C$3:$C$4)),A130))</f>
        <v>21</v>
      </c>
    </row>
    <row r="132" spans="1:1" x14ac:dyDescent="0.35">
      <c r="A132" cm="1">
        <f t="array" ref="A132">IF(B132="",A131,IFERROR(VALUE(SUB_ALL(B132,control!$B$3:$B$4,control!$C$3:$C$4)),A131))</f>
        <v>21</v>
      </c>
    </row>
    <row r="133" spans="1:1" x14ac:dyDescent="0.35">
      <c r="A133" cm="1">
        <f t="array" ref="A133">IF(B133="",A132,IFERROR(VALUE(SUB_ALL(B133,control!$B$3:$B$4,control!$C$3:$C$4)),A132))</f>
        <v>21</v>
      </c>
    </row>
    <row r="134" spans="1:1" x14ac:dyDescent="0.35">
      <c r="A134" cm="1">
        <f t="array" ref="A134">IF(B134="",A133,IFERROR(VALUE(SUB_ALL(B134,control!$B$3:$B$4,control!$C$3:$C$4)),A133))</f>
        <v>21</v>
      </c>
    </row>
    <row r="135" spans="1:1" x14ac:dyDescent="0.35">
      <c r="A135" cm="1">
        <f t="array" ref="A135">IF(B135="",A134,IFERROR(VALUE(SUB_ALL(B135,control!$B$3:$B$4,control!$C$3:$C$4)),A134))</f>
        <v>21</v>
      </c>
    </row>
    <row r="136" spans="1:1" x14ac:dyDescent="0.35">
      <c r="A136" cm="1">
        <f t="array" ref="A136">IF(B136="",A135,IFERROR(VALUE(SUB_ALL(B136,control!$B$3:$B$4,control!$C$3:$C$4)),A135))</f>
        <v>21</v>
      </c>
    </row>
    <row r="137" spans="1:1" x14ac:dyDescent="0.35">
      <c r="A137" cm="1">
        <f t="array" ref="A137">IF(B137="",A136,IFERROR(VALUE(SUB_ALL(B137,control!$B$3:$B$4,control!$C$3:$C$4)),A136))</f>
        <v>21</v>
      </c>
    </row>
    <row r="138" spans="1:1" x14ac:dyDescent="0.35">
      <c r="A138" cm="1">
        <f t="array" ref="A138">IF(B138="",A137,IFERROR(VALUE(SUB_ALL(B138,control!$B$3:$B$4,control!$C$3:$C$4)),A137))</f>
        <v>21</v>
      </c>
    </row>
    <row r="139" spans="1:1" x14ac:dyDescent="0.35">
      <c r="A139" cm="1">
        <f t="array" ref="A139">IF(B139="",A138,IFERROR(VALUE(SUB_ALL(B139,control!$B$3:$B$4,control!$C$3:$C$4)),A138))</f>
        <v>21</v>
      </c>
    </row>
    <row r="140" spans="1:1" x14ac:dyDescent="0.35">
      <c r="A140" cm="1">
        <f t="array" ref="A140">IF(B140="",A139,IFERROR(VALUE(SUB_ALL(B140,control!$B$3:$B$4,control!$C$3:$C$4)),A139))</f>
        <v>21</v>
      </c>
    </row>
    <row r="141" spans="1:1" x14ac:dyDescent="0.35">
      <c r="A141" cm="1">
        <f t="array" ref="A141">IF(B141="",A140,IFERROR(VALUE(SUB_ALL(B141,control!$B$3:$B$4,control!$C$3:$C$4)),A140))</f>
        <v>21</v>
      </c>
    </row>
    <row r="142" spans="1:1" x14ac:dyDescent="0.35">
      <c r="A142" cm="1">
        <f t="array" ref="A142">IF(B142="",A141,IFERROR(VALUE(SUB_ALL(B142,control!$B$3:$B$4,control!$C$3:$C$4)),A141))</f>
        <v>21</v>
      </c>
    </row>
    <row r="143" spans="1:1" x14ac:dyDescent="0.35">
      <c r="A143" cm="1">
        <f t="array" ref="A143">IF(B143="",A142,IFERROR(VALUE(SUB_ALL(B143,control!$B$3:$B$4,control!$C$3:$C$4)),A142))</f>
        <v>21</v>
      </c>
    </row>
    <row r="144" spans="1:1" x14ac:dyDescent="0.35">
      <c r="A144" cm="1">
        <f t="array" ref="A144">IF(B144="",A143,IFERROR(VALUE(SUB_ALL(B144,control!$B$3:$B$4,control!$C$3:$C$4)),A143))</f>
        <v>21</v>
      </c>
    </row>
    <row r="145" spans="1:1" x14ac:dyDescent="0.35">
      <c r="A145" cm="1">
        <f t="array" ref="A145">IF(B145="",A144,IFERROR(VALUE(SUB_ALL(B145,control!$B$3:$B$4,control!$C$3:$C$4)),A144))</f>
        <v>21</v>
      </c>
    </row>
    <row r="146" spans="1:1" x14ac:dyDescent="0.35">
      <c r="A146" cm="1">
        <f t="array" ref="A146">IF(B146="",A145,IFERROR(VALUE(SUB_ALL(B146,control!$B$3:$B$4,control!$C$3:$C$4)),A145))</f>
        <v>21</v>
      </c>
    </row>
    <row r="147" spans="1:1" x14ac:dyDescent="0.35">
      <c r="A147" cm="1">
        <f t="array" ref="A147">IF(B147="",A146,IFERROR(VALUE(SUB_ALL(B147,control!$B$3:$B$4,control!$C$3:$C$4)),A146))</f>
        <v>21</v>
      </c>
    </row>
    <row r="148" spans="1:1" x14ac:dyDescent="0.35">
      <c r="A148" cm="1">
        <f t="array" ref="A148">IF(B148="",A147,IFERROR(VALUE(SUB_ALL(B148,control!$B$3:$B$4,control!$C$3:$C$4)),A147))</f>
        <v>21</v>
      </c>
    </row>
    <row r="149" spans="1:1" x14ac:dyDescent="0.35">
      <c r="A149" cm="1">
        <f t="array" ref="A149">IF(B149="",A148,IFERROR(VALUE(SUB_ALL(B149,control!$B$3:$B$4,control!$C$3:$C$4)),A148))</f>
        <v>21</v>
      </c>
    </row>
    <row r="150" spans="1:1" x14ac:dyDescent="0.35">
      <c r="A150" cm="1">
        <f t="array" ref="A150">IF(B150="",A149,IFERROR(VALUE(SUB_ALL(B150,control!$B$3:$B$4,control!$C$3:$C$4)),A149))</f>
        <v>21</v>
      </c>
    </row>
    <row r="151" spans="1:1" x14ac:dyDescent="0.35">
      <c r="A151" cm="1">
        <f t="array" ref="A151">IF(B151="",A150,IFERROR(VALUE(SUB_ALL(B151,control!$B$3:$B$4,control!$C$3:$C$4)),A150))</f>
        <v>21</v>
      </c>
    </row>
    <row r="152" spans="1:1" x14ac:dyDescent="0.35">
      <c r="A152" cm="1">
        <f t="array" ref="A152">IF(B152="",A151,IFERROR(VALUE(SUB_ALL(B152,control!$B$3:$B$4,control!$C$3:$C$4)),A151))</f>
        <v>21</v>
      </c>
    </row>
    <row r="153" spans="1:1" x14ac:dyDescent="0.35">
      <c r="A153" cm="1">
        <f t="array" ref="A153">IF(B153="",A152,IFERROR(VALUE(SUB_ALL(B153,control!$B$3:$B$4,control!$C$3:$C$4)),A152))</f>
        <v>21</v>
      </c>
    </row>
    <row r="154" spans="1:1" x14ac:dyDescent="0.35">
      <c r="A154" cm="1">
        <f t="array" ref="A154">IF(B154="",A153,IFERROR(VALUE(SUB_ALL(B154,control!$B$3:$B$4,control!$C$3:$C$4)),A153))</f>
        <v>21</v>
      </c>
    </row>
    <row r="155" spans="1:1" x14ac:dyDescent="0.35">
      <c r="A155" cm="1">
        <f t="array" ref="A155">IF(B155="",A154,IFERROR(VALUE(SUB_ALL(B155,control!$B$3:$B$4,control!$C$3:$C$4)),A154))</f>
        <v>21</v>
      </c>
    </row>
    <row r="156" spans="1:1" x14ac:dyDescent="0.35">
      <c r="A156" cm="1">
        <f t="array" ref="A156">IF(B156="",A155,IFERROR(VALUE(SUB_ALL(B156,control!$B$3:$B$4,control!$C$3:$C$4)),A155))</f>
        <v>21</v>
      </c>
    </row>
    <row r="157" spans="1:1" x14ac:dyDescent="0.35">
      <c r="A157" cm="1">
        <f t="array" ref="A157">IF(B157="",A156,IFERROR(VALUE(SUB_ALL(B157,control!$B$3:$B$4,control!$C$3:$C$4)),A156))</f>
        <v>21</v>
      </c>
    </row>
    <row r="158" spans="1:1" x14ac:dyDescent="0.35">
      <c r="A158" cm="1">
        <f t="array" ref="A158">IF(B158="",A157,IFERROR(VALUE(SUB_ALL(B158,control!$B$3:$B$4,control!$C$3:$C$4)),A157))</f>
        <v>21</v>
      </c>
    </row>
    <row r="159" spans="1:1" x14ac:dyDescent="0.35">
      <c r="A159" cm="1">
        <f t="array" ref="A159">IF(B159="",A158,IFERROR(VALUE(SUB_ALL(B159,control!$B$3:$B$4,control!$C$3:$C$4)),A158))</f>
        <v>21</v>
      </c>
    </row>
    <row r="160" spans="1:1" x14ac:dyDescent="0.35">
      <c r="A160" cm="1">
        <f t="array" ref="A160">IF(B160="",A159,IFERROR(VALUE(SUB_ALL(B160,control!$B$3:$B$4,control!$C$3:$C$4)),A159))</f>
        <v>21</v>
      </c>
    </row>
    <row r="161" spans="1:1" x14ac:dyDescent="0.35">
      <c r="A161" cm="1">
        <f t="array" ref="A161">IF(B161="",A160,IFERROR(VALUE(SUB_ALL(B161,control!$B$3:$B$4,control!$C$3:$C$4)),A160))</f>
        <v>21</v>
      </c>
    </row>
    <row r="162" spans="1:1" x14ac:dyDescent="0.35">
      <c r="A162" cm="1">
        <f t="array" ref="A162">IF(B162="",A161,IFERROR(VALUE(SUB_ALL(B162,control!$B$3:$B$4,control!$C$3:$C$4)),A161))</f>
        <v>21</v>
      </c>
    </row>
    <row r="163" spans="1:1" x14ac:dyDescent="0.35">
      <c r="A163" cm="1">
        <f t="array" ref="A163">IF(B163="",A162,IFERROR(VALUE(SUB_ALL(B163,control!$B$3:$B$4,control!$C$3:$C$4)),A162))</f>
        <v>21</v>
      </c>
    </row>
    <row r="164" spans="1:1" x14ac:dyDescent="0.35">
      <c r="A164" cm="1">
        <f t="array" ref="A164">IF(B164="",A163,IFERROR(VALUE(SUB_ALL(B164,control!$B$3:$B$4,control!$C$3:$C$4)),A163))</f>
        <v>21</v>
      </c>
    </row>
    <row r="165" spans="1:1" x14ac:dyDescent="0.35">
      <c r="A165" cm="1">
        <f t="array" ref="A165">IF(B165="",A164,IFERROR(VALUE(SUB_ALL(B165,control!$B$3:$B$4,control!$C$3:$C$4)),A164))</f>
        <v>21</v>
      </c>
    </row>
    <row r="166" spans="1:1" x14ac:dyDescent="0.35">
      <c r="A166" cm="1">
        <f t="array" ref="A166">IF(B166="",A165,IFERROR(VALUE(SUB_ALL(B166,control!$B$3:$B$4,control!$C$3:$C$4)),A165))</f>
        <v>21</v>
      </c>
    </row>
    <row r="167" spans="1:1" x14ac:dyDescent="0.35">
      <c r="A167" cm="1">
        <f t="array" ref="A167">IF(B167="",A166,IFERROR(VALUE(SUB_ALL(B167,control!$B$3:$B$4,control!$C$3:$C$4)),A166))</f>
        <v>21</v>
      </c>
    </row>
    <row r="168" spans="1:1" x14ac:dyDescent="0.35">
      <c r="A168" cm="1">
        <f t="array" ref="A168">IF(B168="",A167,IFERROR(VALUE(SUB_ALL(B168,control!$B$3:$B$4,control!$C$3:$C$4)),A167))</f>
        <v>21</v>
      </c>
    </row>
    <row r="169" spans="1:1" x14ac:dyDescent="0.35">
      <c r="A169" cm="1">
        <f t="array" ref="A169">IF(B169="",A168,IFERROR(VALUE(SUB_ALL(B169,control!$B$3:$B$4,control!$C$3:$C$4)),A168))</f>
        <v>21</v>
      </c>
    </row>
    <row r="170" spans="1:1" x14ac:dyDescent="0.35">
      <c r="A170" cm="1">
        <f t="array" ref="A170">IF(B170="",A169,IFERROR(VALUE(SUB_ALL(B170,control!$B$3:$B$4,control!$C$3:$C$4)),A169))</f>
        <v>21</v>
      </c>
    </row>
    <row r="171" spans="1:1" x14ac:dyDescent="0.35">
      <c r="A171" cm="1">
        <f t="array" ref="A171">IF(B171="",A170,IFERROR(VALUE(SUB_ALL(B171,control!$B$3:$B$4,control!$C$3:$C$4)),A170))</f>
        <v>21</v>
      </c>
    </row>
    <row r="172" spans="1:1" x14ac:dyDescent="0.35">
      <c r="A172" cm="1">
        <f t="array" ref="A172">IF(B172="",A171,IFERROR(VALUE(SUB_ALL(B172,control!$B$3:$B$4,control!$C$3:$C$4)),A171))</f>
        <v>21</v>
      </c>
    </row>
    <row r="173" spans="1:1" x14ac:dyDescent="0.35">
      <c r="A173" cm="1">
        <f t="array" ref="A173">IF(B173="",A172,IFERROR(VALUE(SUB_ALL(B173,control!$B$3:$B$4,control!$C$3:$C$4)),A172))</f>
        <v>21</v>
      </c>
    </row>
    <row r="174" spans="1:1" x14ac:dyDescent="0.35">
      <c r="A174" cm="1">
        <f t="array" ref="A174">IF(B174="",A173,IFERROR(VALUE(SUB_ALL(B174,control!$B$3:$B$4,control!$C$3:$C$4)),A173))</f>
        <v>21</v>
      </c>
    </row>
    <row r="175" spans="1:1" x14ac:dyDescent="0.35">
      <c r="A175" cm="1">
        <f t="array" ref="A175">IF(B175="",A174,IFERROR(VALUE(SUB_ALL(B175,control!$B$3:$B$4,control!$C$3:$C$4)),A174))</f>
        <v>21</v>
      </c>
    </row>
    <row r="176" spans="1:1" x14ac:dyDescent="0.35">
      <c r="A176" cm="1">
        <f t="array" ref="A176">IF(B176="",A175,IFERROR(VALUE(SUB_ALL(B176,control!$B$3:$B$4,control!$C$3:$C$4)),A175))</f>
        <v>21</v>
      </c>
    </row>
    <row r="177" spans="1:1" x14ac:dyDescent="0.35">
      <c r="A177" cm="1">
        <f t="array" ref="A177">IF(B177="",A176,IFERROR(VALUE(SUB_ALL(B177,control!$B$3:$B$4,control!$C$3:$C$4)),A176))</f>
        <v>21</v>
      </c>
    </row>
    <row r="178" spans="1:1" x14ac:dyDescent="0.35">
      <c r="A178" cm="1">
        <f t="array" ref="A178">IF(B178="",A177,IFERROR(VALUE(SUB_ALL(B178,control!$B$3:$B$4,control!$C$3:$C$4)),A177))</f>
        <v>21</v>
      </c>
    </row>
    <row r="179" spans="1:1" x14ac:dyDescent="0.35">
      <c r="A179" cm="1">
        <f t="array" ref="A179">IF(B179="",A178,IFERROR(VALUE(SUB_ALL(B179,control!$B$3:$B$4,control!$C$3:$C$4)),A178))</f>
        <v>21</v>
      </c>
    </row>
    <row r="180" spans="1:1" x14ac:dyDescent="0.35">
      <c r="A180" cm="1">
        <f t="array" ref="A180">IF(B180="",A179,IFERROR(VALUE(SUB_ALL(B180,control!$B$3:$B$4,control!$C$3:$C$4)),A179))</f>
        <v>21</v>
      </c>
    </row>
    <row r="181" spans="1:1" x14ac:dyDescent="0.35">
      <c r="A181" cm="1">
        <f t="array" ref="A181">IF(B181="",A180,IFERROR(VALUE(SUB_ALL(B181,control!$B$3:$B$4,control!$C$3:$C$4)),A180))</f>
        <v>21</v>
      </c>
    </row>
    <row r="182" spans="1:1" x14ac:dyDescent="0.35">
      <c r="A182" cm="1">
        <f t="array" ref="A182">IF(B182="",A181,IFERROR(VALUE(SUB_ALL(B182,control!$B$3:$B$4,control!$C$3:$C$4)),A181))</f>
        <v>21</v>
      </c>
    </row>
    <row r="183" spans="1:1" x14ac:dyDescent="0.35">
      <c r="A183" cm="1">
        <f t="array" ref="A183">IF(B183="",A182,IFERROR(VALUE(SUB_ALL(B183,control!$B$3:$B$4,control!$C$3:$C$4)),A182))</f>
        <v>21</v>
      </c>
    </row>
    <row r="184" spans="1:1" x14ac:dyDescent="0.35">
      <c r="A184" cm="1">
        <f t="array" ref="A184">IF(B184="",A183,IFERROR(VALUE(SUB_ALL(B184,control!$B$3:$B$4,control!$C$3:$C$4)),A183))</f>
        <v>21</v>
      </c>
    </row>
    <row r="185" spans="1:1" x14ac:dyDescent="0.35">
      <c r="A185" cm="1">
        <f t="array" ref="A185">IF(B185="",A184,IFERROR(VALUE(SUB_ALL(B185,control!$B$3:$B$4,control!$C$3:$C$4)),A184))</f>
        <v>21</v>
      </c>
    </row>
    <row r="186" spans="1:1" x14ac:dyDescent="0.35">
      <c r="A186" cm="1">
        <f t="array" ref="A186">IF(B186="",A185,IFERROR(VALUE(SUB_ALL(B186,control!$B$3:$B$4,control!$C$3:$C$4)),A185))</f>
        <v>21</v>
      </c>
    </row>
    <row r="187" spans="1:1" x14ac:dyDescent="0.35">
      <c r="A187" cm="1">
        <f t="array" ref="A187">IF(B187="",A186,IFERROR(VALUE(SUB_ALL(B187,control!$B$3:$B$4,control!$C$3:$C$4)),A186))</f>
        <v>21</v>
      </c>
    </row>
    <row r="188" spans="1:1" x14ac:dyDescent="0.35">
      <c r="A188" cm="1">
        <f t="array" ref="A188">IF(B188="",A187,IFERROR(VALUE(SUB_ALL(B188,control!$B$3:$B$4,control!$C$3:$C$4)),A187))</f>
        <v>21</v>
      </c>
    </row>
    <row r="189" spans="1:1" x14ac:dyDescent="0.35">
      <c r="A189" cm="1">
        <f t="array" ref="A189">IF(B189="",A188,IFERROR(VALUE(SUB_ALL(B189,control!$B$3:$B$4,control!$C$3:$C$4)),A188))</f>
        <v>21</v>
      </c>
    </row>
    <row r="190" spans="1:1" x14ac:dyDescent="0.35">
      <c r="A190" cm="1">
        <f t="array" ref="A190">IF(B190="",A189,IFERROR(VALUE(SUB_ALL(B190,control!$B$3:$B$4,control!$C$3:$C$4)),A189))</f>
        <v>21</v>
      </c>
    </row>
    <row r="191" spans="1:1" x14ac:dyDescent="0.35">
      <c r="A191" cm="1">
        <f t="array" ref="A191">IF(B191="",A190,IFERROR(VALUE(SUB_ALL(B191,control!$B$3:$B$4,control!$C$3:$C$4)),A190))</f>
        <v>21</v>
      </c>
    </row>
    <row r="192" spans="1:1" x14ac:dyDescent="0.35">
      <c r="A192" cm="1">
        <f t="array" ref="A192">IF(B192="",A191,IFERROR(VALUE(SUB_ALL(B192,control!$B$3:$B$4,control!$C$3:$C$4)),A191))</f>
        <v>21</v>
      </c>
    </row>
    <row r="193" spans="1:1" x14ac:dyDescent="0.35">
      <c r="A193" cm="1">
        <f t="array" ref="A193">IF(B193="",A192,IFERROR(VALUE(SUB_ALL(B193,control!$B$3:$B$4,control!$C$3:$C$4)),A192))</f>
        <v>21</v>
      </c>
    </row>
    <row r="194" spans="1:1" x14ac:dyDescent="0.35">
      <c r="A194" cm="1">
        <f t="array" ref="A194">IF(B194="",A193,IFERROR(VALUE(SUB_ALL(B194,control!$B$3:$B$4,control!$C$3:$C$4)),A193))</f>
        <v>21</v>
      </c>
    </row>
    <row r="195" spans="1:1" x14ac:dyDescent="0.35">
      <c r="A195" cm="1">
        <f t="array" ref="A195">IF(B195="",A194,IFERROR(VALUE(SUB_ALL(B195,control!$B$3:$B$4,control!$C$3:$C$4)),A194))</f>
        <v>21</v>
      </c>
    </row>
    <row r="196" spans="1:1" x14ac:dyDescent="0.35">
      <c r="A196" cm="1">
        <f t="array" ref="A196">IF(B196="",A195,IFERROR(VALUE(SUB_ALL(B196,control!$B$3:$B$4,control!$C$3:$C$4)),A195))</f>
        <v>21</v>
      </c>
    </row>
    <row r="197" spans="1:1" x14ac:dyDescent="0.35">
      <c r="A197" cm="1">
        <f t="array" ref="A197">IF(B197="",A196,IFERROR(VALUE(SUB_ALL(B197,control!$B$3:$B$4,control!$C$3:$C$4)),A196))</f>
        <v>21</v>
      </c>
    </row>
    <row r="198" spans="1:1" x14ac:dyDescent="0.35">
      <c r="A198" cm="1">
        <f t="array" ref="A198">IF(B198="",A197,IFERROR(VALUE(SUB_ALL(B198,control!$B$3:$B$4,control!$C$3:$C$4)),A197))</f>
        <v>21</v>
      </c>
    </row>
    <row r="199" spans="1:1" x14ac:dyDescent="0.35">
      <c r="A199" cm="1">
        <f t="array" ref="A199">IF(B199="",A198,IFERROR(VALUE(SUB_ALL(B199,control!$B$3:$B$4,control!$C$3:$C$4)),A198))</f>
        <v>21</v>
      </c>
    </row>
    <row r="200" spans="1:1" x14ac:dyDescent="0.35">
      <c r="A200" cm="1">
        <f t="array" ref="A200">IF(B200="",A199,IFERROR(VALUE(SUB_ALL(B200,control!$B$3:$B$4,control!$C$3:$C$4)),A199))</f>
        <v>21</v>
      </c>
    </row>
    <row r="201" spans="1:1" x14ac:dyDescent="0.35">
      <c r="A201" cm="1">
        <f t="array" ref="A201">IF(B201="",A200,IFERROR(VALUE(SUB_ALL(B201,control!$B$3:$B$4,control!$C$3:$C$4)),A200))</f>
        <v>21</v>
      </c>
    </row>
    <row r="202" spans="1:1" x14ac:dyDescent="0.35">
      <c r="A202" cm="1">
        <f t="array" ref="A202">IF(B202="",A201,IFERROR(VALUE(SUB_ALL(B202,control!$B$3:$B$4,control!$C$3:$C$4)),A201))</f>
        <v>21</v>
      </c>
    </row>
    <row r="203" spans="1:1" x14ac:dyDescent="0.35">
      <c r="A203" cm="1">
        <f t="array" ref="A203">IF(B203="",A202,IFERROR(VALUE(SUB_ALL(B203,control!$B$3:$B$4,control!$C$3:$C$4)),A202))</f>
        <v>21</v>
      </c>
    </row>
    <row r="204" spans="1:1" x14ac:dyDescent="0.35">
      <c r="A204" cm="1">
        <f t="array" ref="A204">IF(B204="",A203,IFERROR(VALUE(SUB_ALL(B204,control!$B$3:$B$4,control!$C$3:$C$4)),A203))</f>
        <v>21</v>
      </c>
    </row>
    <row r="205" spans="1:1" x14ac:dyDescent="0.35">
      <c r="A205" cm="1">
        <f t="array" ref="A205">IF(B205="",A204,IFERROR(VALUE(SUB_ALL(B205,control!$B$3:$B$4,control!$C$3:$C$4)),A204))</f>
        <v>21</v>
      </c>
    </row>
    <row r="206" spans="1:1" x14ac:dyDescent="0.35">
      <c r="A206" cm="1">
        <f t="array" ref="A206">IF(B206="",A205,IFERROR(VALUE(SUB_ALL(B206,control!$B$3:$B$4,control!$C$3:$C$4)),A205))</f>
        <v>21</v>
      </c>
    </row>
    <row r="207" spans="1:1" x14ac:dyDescent="0.35">
      <c r="A207" cm="1">
        <f t="array" ref="A207">IF(B207="",A206,IFERROR(VALUE(SUB_ALL(B207,control!$B$3:$B$4,control!$C$3:$C$4)),A206))</f>
        <v>21</v>
      </c>
    </row>
    <row r="208" spans="1:1" x14ac:dyDescent="0.35">
      <c r="A208" cm="1">
        <f t="array" ref="A208">IF(B208="",A207,IFERROR(VALUE(SUB_ALL(B208,control!$B$3:$B$4,control!$C$3:$C$4)),A207))</f>
        <v>21</v>
      </c>
    </row>
    <row r="209" spans="1:1" x14ac:dyDescent="0.35">
      <c r="A209" cm="1">
        <f t="array" ref="A209">IF(B209="",A208,IFERROR(VALUE(SUB_ALL(B209,control!$B$3:$B$4,control!$C$3:$C$4)),A208))</f>
        <v>21</v>
      </c>
    </row>
    <row r="210" spans="1:1" x14ac:dyDescent="0.35">
      <c r="A210" cm="1">
        <f t="array" ref="A210">IF(B210="",A209,IFERROR(VALUE(SUB_ALL(B210,control!$B$3:$B$4,control!$C$3:$C$4)),A209))</f>
        <v>21</v>
      </c>
    </row>
    <row r="211" spans="1:1" x14ac:dyDescent="0.35">
      <c r="A211" cm="1">
        <f t="array" ref="A211">IF(B211="",A210,IFERROR(VALUE(SUB_ALL(B211,control!$B$3:$B$4,control!$C$3:$C$4)),A210))</f>
        <v>21</v>
      </c>
    </row>
    <row r="212" spans="1:1" x14ac:dyDescent="0.35">
      <c r="A212" cm="1">
        <f t="array" ref="A212">IF(B212="",A211,IFERROR(VALUE(SUB_ALL(B212,control!$B$3:$B$4,control!$C$3:$C$4)),A211))</f>
        <v>21</v>
      </c>
    </row>
    <row r="213" spans="1:1" x14ac:dyDescent="0.35">
      <c r="A213" cm="1">
        <f t="array" ref="A213">IF(B213="",A212,IFERROR(VALUE(SUB_ALL(B213,control!$B$3:$B$4,control!$C$3:$C$4)),A212))</f>
        <v>21</v>
      </c>
    </row>
    <row r="214" spans="1:1" x14ac:dyDescent="0.35">
      <c r="A214" cm="1">
        <f t="array" ref="A214">IF(B214="",A213,IFERROR(VALUE(SUB_ALL(B214,control!$B$3:$B$4,control!$C$3:$C$4)),A213))</f>
        <v>21</v>
      </c>
    </row>
    <row r="215" spans="1:1" x14ac:dyDescent="0.35">
      <c r="A215" cm="1">
        <f t="array" ref="A215">IF(B215="",A214,IFERROR(VALUE(SUB_ALL(B215,control!$B$3:$B$4,control!$C$3:$C$4)),A214))</f>
        <v>21</v>
      </c>
    </row>
    <row r="216" spans="1:1" x14ac:dyDescent="0.35">
      <c r="A216" cm="1">
        <f t="array" ref="A216">IF(B216="",A215,IFERROR(VALUE(SUB_ALL(B216,control!$B$3:$B$4,control!$C$3:$C$4)),A215))</f>
        <v>21</v>
      </c>
    </row>
    <row r="217" spans="1:1" x14ac:dyDescent="0.35">
      <c r="A217" cm="1">
        <f t="array" ref="A217">IF(B217="",A216,IFERROR(VALUE(SUB_ALL(B217,control!$B$3:$B$4,control!$C$3:$C$4)),A216))</f>
        <v>21</v>
      </c>
    </row>
    <row r="218" spans="1:1" x14ac:dyDescent="0.35">
      <c r="A218" cm="1">
        <f t="array" ref="A218">IF(B218="",A217,IFERROR(VALUE(SUB_ALL(B218,control!$B$3:$B$4,control!$C$3:$C$4)),A217))</f>
        <v>21</v>
      </c>
    </row>
    <row r="219" spans="1:1" x14ac:dyDescent="0.35">
      <c r="A219" cm="1">
        <f t="array" ref="A219">IF(B219="",A218,IFERROR(VALUE(SUB_ALL(B219,control!$B$3:$B$4,control!$C$3:$C$4)),A218))</f>
        <v>21</v>
      </c>
    </row>
    <row r="220" spans="1:1" x14ac:dyDescent="0.35">
      <c r="A220" cm="1">
        <f t="array" ref="A220">IF(B220="",A219,IFERROR(VALUE(SUB_ALL(B220,control!$B$3:$B$4,control!$C$3:$C$4)),A219))</f>
        <v>21</v>
      </c>
    </row>
    <row r="221" spans="1:1" x14ac:dyDescent="0.35">
      <c r="A221" cm="1">
        <f t="array" ref="A221">IF(B221="",A220,IFERROR(VALUE(SUB_ALL(B221,control!$B$3:$B$4,control!$C$3:$C$4)),A220))</f>
        <v>21</v>
      </c>
    </row>
    <row r="222" spans="1:1" x14ac:dyDescent="0.35">
      <c r="A222" cm="1">
        <f t="array" ref="A222">IF(B222="",A221,IFERROR(VALUE(SUB_ALL(B222,control!$B$3:$B$4,control!$C$3:$C$4)),A221))</f>
        <v>21</v>
      </c>
    </row>
    <row r="223" spans="1:1" x14ac:dyDescent="0.35">
      <c r="A223" cm="1">
        <f t="array" ref="A223">IF(B223="",A222,IFERROR(VALUE(SUB_ALL(B223,control!$B$3:$B$4,control!$C$3:$C$4)),A222))</f>
        <v>21</v>
      </c>
    </row>
    <row r="224" spans="1:1" x14ac:dyDescent="0.35">
      <c r="A224" cm="1">
        <f t="array" ref="A224">IF(B224="",A223,IFERROR(VALUE(SUB_ALL(B224,control!$B$3:$B$4,control!$C$3:$C$4)),A223))</f>
        <v>21</v>
      </c>
    </row>
    <row r="225" spans="1:1" x14ac:dyDescent="0.35">
      <c r="A225" cm="1">
        <f t="array" ref="A225">IF(B225="",A224,IFERROR(VALUE(SUB_ALL(B225,control!$B$3:$B$4,control!$C$3:$C$4)),A224))</f>
        <v>21</v>
      </c>
    </row>
    <row r="226" spans="1:1" x14ac:dyDescent="0.35">
      <c r="A226" cm="1">
        <f t="array" ref="A226">IF(B226="",A225,IFERROR(VALUE(SUB_ALL(B226,control!$B$3:$B$4,control!$C$3:$C$4)),A225))</f>
        <v>21</v>
      </c>
    </row>
    <row r="227" spans="1:1" x14ac:dyDescent="0.35">
      <c r="A227" cm="1">
        <f t="array" ref="A227">IF(B227="",A226,IFERROR(VALUE(SUB_ALL(B227,control!$B$3:$B$4,control!$C$3:$C$4)),A226))</f>
        <v>21</v>
      </c>
    </row>
    <row r="228" spans="1:1" x14ac:dyDescent="0.35">
      <c r="A228" cm="1">
        <f t="array" ref="A228">IF(B228="",A227,IFERROR(VALUE(SUB_ALL(B228,control!$B$3:$B$4,control!$C$3:$C$4)),A227))</f>
        <v>21</v>
      </c>
    </row>
    <row r="229" spans="1:1" x14ac:dyDescent="0.35">
      <c r="A229" cm="1">
        <f t="array" ref="A229">IF(B229="",A228,IFERROR(VALUE(SUB_ALL(B229,control!$B$3:$B$4,control!$C$3:$C$4)),A228))</f>
        <v>21</v>
      </c>
    </row>
    <row r="230" spans="1:1" x14ac:dyDescent="0.35">
      <c r="A230" cm="1">
        <f t="array" ref="A230">IF(B230="",A229,IFERROR(VALUE(SUB_ALL(B230,control!$B$3:$B$4,control!$C$3:$C$4)),A229))</f>
        <v>21</v>
      </c>
    </row>
    <row r="231" spans="1:1" x14ac:dyDescent="0.35">
      <c r="A231" cm="1">
        <f t="array" ref="A231">IF(B231="",A230,IFERROR(VALUE(SUB_ALL(B231,control!$B$3:$B$4,control!$C$3:$C$4)),A230))</f>
        <v>21</v>
      </c>
    </row>
    <row r="232" spans="1:1" x14ac:dyDescent="0.35">
      <c r="A232" cm="1">
        <f t="array" ref="A232">IF(B232="",A231,IFERROR(VALUE(SUB_ALL(B232,control!$B$3:$B$4,control!$C$3:$C$4)),A231))</f>
        <v>21</v>
      </c>
    </row>
    <row r="233" spans="1:1" x14ac:dyDescent="0.35">
      <c r="A233" cm="1">
        <f t="array" ref="A233">IF(B233="",A232,IFERROR(VALUE(SUB_ALL(B233,control!$B$3:$B$4,control!$C$3:$C$4)),A232))</f>
        <v>21</v>
      </c>
    </row>
    <row r="234" spans="1:1" x14ac:dyDescent="0.35">
      <c r="A234" cm="1">
        <f t="array" ref="A234">IF(B234="",A233,IFERROR(VALUE(SUB_ALL(B234,control!$B$3:$B$4,control!$C$3:$C$4)),A233))</f>
        <v>21</v>
      </c>
    </row>
    <row r="235" spans="1:1" x14ac:dyDescent="0.35">
      <c r="A235" cm="1">
        <f t="array" ref="A235">IF(B235="",A234,IFERROR(VALUE(SUB_ALL(B235,control!$B$3:$B$4,control!$C$3:$C$4)),A234))</f>
        <v>21</v>
      </c>
    </row>
    <row r="236" spans="1:1" x14ac:dyDescent="0.35">
      <c r="A236" cm="1">
        <f t="array" ref="A236">IF(B236="",A235,IFERROR(VALUE(SUB_ALL(B236,control!$B$3:$B$4,control!$C$3:$C$4)),A235))</f>
        <v>21</v>
      </c>
    </row>
    <row r="237" spans="1:1" x14ac:dyDescent="0.35">
      <c r="A237" cm="1">
        <f t="array" ref="A237">IF(B237="",A236,IFERROR(VALUE(SUB_ALL(B237,control!$B$3:$B$4,control!$C$3:$C$4)),A236))</f>
        <v>21</v>
      </c>
    </row>
    <row r="238" spans="1:1" x14ac:dyDescent="0.35">
      <c r="A238" cm="1">
        <f t="array" ref="A238">IF(B238="",A237,IFERROR(VALUE(SUB_ALL(B238,control!$B$3:$B$4,control!$C$3:$C$4)),A237))</f>
        <v>21</v>
      </c>
    </row>
    <row r="239" spans="1:1" x14ac:dyDescent="0.35">
      <c r="A239" cm="1">
        <f t="array" ref="A239">IF(B239="",A238,IFERROR(VALUE(SUB_ALL(B239,control!$B$3:$B$4,control!$C$3:$C$4)),A238))</f>
        <v>21</v>
      </c>
    </row>
    <row r="240" spans="1:1" x14ac:dyDescent="0.35">
      <c r="A240" cm="1">
        <f t="array" ref="A240">IF(B240="",A239,IFERROR(VALUE(SUB_ALL(B240,control!$B$3:$B$4,control!$C$3:$C$4)),A239))</f>
        <v>21</v>
      </c>
    </row>
    <row r="241" spans="1:1" x14ac:dyDescent="0.35">
      <c r="A241" cm="1">
        <f t="array" ref="A241">IF(B241="",A240,IFERROR(VALUE(SUB_ALL(B241,control!$B$3:$B$4,control!$C$3:$C$4)),A240))</f>
        <v>21</v>
      </c>
    </row>
    <row r="242" spans="1:1" x14ac:dyDescent="0.35">
      <c r="A242" cm="1">
        <f t="array" ref="A242">IF(B242="",A241,IFERROR(VALUE(SUB_ALL(B242,control!$B$3:$B$4,control!$C$3:$C$4)),A241))</f>
        <v>21</v>
      </c>
    </row>
    <row r="243" spans="1:1" x14ac:dyDescent="0.35">
      <c r="A243" cm="1">
        <f t="array" ref="A243">IF(B243="",A242,IFERROR(VALUE(SUB_ALL(B243,control!$B$3:$B$4,control!$C$3:$C$4)),A242))</f>
        <v>21</v>
      </c>
    </row>
    <row r="244" spans="1:1" x14ac:dyDescent="0.35">
      <c r="A244" cm="1">
        <f t="array" ref="A244">IF(B244="",A243,IFERROR(VALUE(SUB_ALL(B244,control!$B$3:$B$4,control!$C$3:$C$4)),A243))</f>
        <v>21</v>
      </c>
    </row>
    <row r="245" spans="1:1" x14ac:dyDescent="0.35">
      <c r="A245" cm="1">
        <f t="array" ref="A245">IF(B245="",A244,IFERROR(VALUE(SUB_ALL(B245,control!$B$3:$B$4,control!$C$3:$C$4)),A244))</f>
        <v>21</v>
      </c>
    </row>
    <row r="246" spans="1:1" x14ac:dyDescent="0.35">
      <c r="A246" cm="1">
        <f t="array" ref="A246">IF(B246="",A245,IFERROR(VALUE(SUB_ALL(B246,control!$B$3:$B$4,control!$C$3:$C$4)),A245))</f>
        <v>21</v>
      </c>
    </row>
    <row r="247" spans="1:1" x14ac:dyDescent="0.35">
      <c r="A247" cm="1">
        <f t="array" ref="A247">IF(B247="",A246,IFERROR(VALUE(SUB_ALL(B247,control!$B$3:$B$4,control!$C$3:$C$4)),A246))</f>
        <v>21</v>
      </c>
    </row>
    <row r="248" spans="1:1" x14ac:dyDescent="0.35">
      <c r="A248" cm="1">
        <f t="array" ref="A248">IF(B248="",A247,IFERROR(VALUE(SUB_ALL(B248,control!$B$3:$B$4,control!$C$3:$C$4)),A247))</f>
        <v>21</v>
      </c>
    </row>
    <row r="249" spans="1:1" x14ac:dyDescent="0.35">
      <c r="A249" cm="1">
        <f t="array" ref="A249">IF(B249="",A248,IFERROR(VALUE(SUB_ALL(B249,control!$B$3:$B$4,control!$C$3:$C$4)),A248))</f>
        <v>21</v>
      </c>
    </row>
    <row r="250" spans="1:1" x14ac:dyDescent="0.35">
      <c r="A250" cm="1">
        <f t="array" ref="A250">IF(B250="",A249,IFERROR(VALUE(SUB_ALL(B250,control!$B$3:$B$4,control!$C$3:$C$4)),A249))</f>
        <v>21</v>
      </c>
    </row>
    <row r="251" spans="1:1" x14ac:dyDescent="0.35">
      <c r="A251" cm="1">
        <f t="array" ref="A251">IF(B251="",A250,IFERROR(VALUE(SUB_ALL(B251,control!$B$3:$B$4,control!$C$3:$C$4)),A250))</f>
        <v>21</v>
      </c>
    </row>
    <row r="252" spans="1:1" x14ac:dyDescent="0.35">
      <c r="A252" cm="1">
        <f t="array" ref="A252">IF(B252="",A251,IFERROR(VALUE(SUB_ALL(B252,control!$B$3:$B$4,control!$C$3:$C$4)),A251))</f>
        <v>21</v>
      </c>
    </row>
    <row r="253" spans="1:1" x14ac:dyDescent="0.35">
      <c r="A253" cm="1">
        <f t="array" ref="A253">IF(B253="",A252,IFERROR(VALUE(SUB_ALL(B253,control!$B$3:$B$4,control!$C$3:$C$4)),A252))</f>
        <v>21</v>
      </c>
    </row>
    <row r="254" spans="1:1" x14ac:dyDescent="0.35">
      <c r="A254" cm="1">
        <f t="array" ref="A254">IF(B254="",A253,IFERROR(VALUE(SUB_ALL(B254,control!$B$3:$B$4,control!$C$3:$C$4)),A253))</f>
        <v>21</v>
      </c>
    </row>
    <row r="255" spans="1:1" x14ac:dyDescent="0.35">
      <c r="A255" cm="1">
        <f t="array" ref="A255">IF(B255="",A254,IFERROR(VALUE(SUB_ALL(B255,control!$B$3:$B$4,control!$C$3:$C$4)),A254))</f>
        <v>21</v>
      </c>
    </row>
    <row r="256" spans="1:1" x14ac:dyDescent="0.35">
      <c r="A256" cm="1">
        <f t="array" ref="A256">IF(B256="",A255,IFERROR(VALUE(SUB_ALL(B256,control!$B$3:$B$4,control!$C$3:$C$4)),A255))</f>
        <v>21</v>
      </c>
    </row>
    <row r="257" spans="1:1" x14ac:dyDescent="0.35">
      <c r="A257" cm="1">
        <f t="array" ref="A257">IF(B257="",A256,IFERROR(VALUE(SUB_ALL(B257,control!$B$3:$B$4,control!$C$3:$C$4)),A256))</f>
        <v>21</v>
      </c>
    </row>
    <row r="258" spans="1:1" x14ac:dyDescent="0.35">
      <c r="A258" cm="1">
        <f t="array" ref="A258">IF(B258="",A257,IFERROR(VALUE(SUB_ALL(B258,control!$B$3:$B$4,control!$C$3:$C$4)),A257))</f>
        <v>21</v>
      </c>
    </row>
    <row r="259" spans="1:1" x14ac:dyDescent="0.35">
      <c r="A259" cm="1">
        <f t="array" ref="A259">IF(B259="",A258,IFERROR(VALUE(SUB_ALL(B259,control!$B$3:$B$4,control!$C$3:$C$4)),A258))</f>
        <v>21</v>
      </c>
    </row>
    <row r="260" spans="1:1" x14ac:dyDescent="0.35">
      <c r="A260" cm="1">
        <f t="array" ref="A260">IF(B260="",A259,IFERROR(VALUE(SUB_ALL(B260,control!$B$3:$B$4,control!$C$3:$C$4)),A259))</f>
        <v>21</v>
      </c>
    </row>
    <row r="261" spans="1:1" x14ac:dyDescent="0.35">
      <c r="A261" cm="1">
        <f t="array" ref="A261">IF(B261="",A260,IFERROR(VALUE(SUB_ALL(B261,control!$B$3:$B$4,control!$C$3:$C$4)),A260))</f>
        <v>21</v>
      </c>
    </row>
    <row r="262" spans="1:1" x14ac:dyDescent="0.35">
      <c r="A262" cm="1">
        <f t="array" ref="A262">IF(B262="",A261,IFERROR(VALUE(SUB_ALL(B262,control!$B$3:$B$4,control!$C$3:$C$4)),A261))</f>
        <v>21</v>
      </c>
    </row>
    <row r="263" spans="1:1" x14ac:dyDescent="0.35">
      <c r="A263" cm="1">
        <f t="array" ref="A263">IF(B263="",A262,IFERROR(VALUE(SUB_ALL(B263,control!$B$3:$B$4,control!$C$3:$C$4)),A262))</f>
        <v>21</v>
      </c>
    </row>
    <row r="264" spans="1:1" x14ac:dyDescent="0.35">
      <c r="A264" cm="1">
        <f t="array" ref="A264">IF(B264="",A263,IFERROR(VALUE(SUB_ALL(B264,control!$B$3:$B$4,control!$C$3:$C$4)),A263))</f>
        <v>21</v>
      </c>
    </row>
    <row r="265" spans="1:1" x14ac:dyDescent="0.35">
      <c r="A265" cm="1">
        <f t="array" ref="A265">IF(B265="",A264,IFERROR(VALUE(SUB_ALL(B265,control!$B$3:$B$4,control!$C$3:$C$4)),A264))</f>
        <v>21</v>
      </c>
    </row>
    <row r="266" spans="1:1" x14ac:dyDescent="0.35">
      <c r="A266" cm="1">
        <f t="array" ref="A266">IF(B266="",A265,IFERROR(VALUE(SUB_ALL(B266,control!$B$3:$B$4,control!$C$3:$C$4)),A265))</f>
        <v>21</v>
      </c>
    </row>
    <row r="267" spans="1:1" x14ac:dyDescent="0.35">
      <c r="A267" cm="1">
        <f t="array" ref="A267">IF(B267="",A266,IFERROR(VALUE(SUB_ALL(B267,control!$B$3:$B$4,control!$C$3:$C$4)),A266))</f>
        <v>21</v>
      </c>
    </row>
    <row r="268" spans="1:1" x14ac:dyDescent="0.35">
      <c r="A268" cm="1">
        <f t="array" ref="A268">IF(B268="",A267,IFERROR(VALUE(SUB_ALL(B268,control!$B$3:$B$4,control!$C$3:$C$4)),A267))</f>
        <v>21</v>
      </c>
    </row>
    <row r="269" spans="1:1" x14ac:dyDescent="0.35">
      <c r="A269" cm="1">
        <f t="array" ref="A269">IF(B269="",A268,IFERROR(VALUE(SUB_ALL(B269,control!$B$3:$B$4,control!$C$3:$C$4)),A268))</f>
        <v>21</v>
      </c>
    </row>
    <row r="270" spans="1:1" x14ac:dyDescent="0.35">
      <c r="A270" cm="1">
        <f t="array" ref="A270">IF(B270="",A269,IFERROR(VALUE(SUB_ALL(B270,control!$B$3:$B$4,control!$C$3:$C$4)),A269))</f>
        <v>21</v>
      </c>
    </row>
    <row r="271" spans="1:1" x14ac:dyDescent="0.35">
      <c r="A271" cm="1">
        <f t="array" ref="A271">IF(B271="",A270,IFERROR(VALUE(SUB_ALL(B271,control!$B$3:$B$4,control!$C$3:$C$4)),A270))</f>
        <v>21</v>
      </c>
    </row>
    <row r="272" spans="1:1" x14ac:dyDescent="0.35">
      <c r="A272" cm="1">
        <f t="array" ref="A272">IF(B272="",A271,IFERROR(VALUE(SUB_ALL(B272,control!$B$3:$B$4,control!$C$3:$C$4)),A271))</f>
        <v>21</v>
      </c>
    </row>
    <row r="273" spans="1:1" x14ac:dyDescent="0.35">
      <c r="A273" cm="1">
        <f t="array" ref="A273">IF(B273="",A272,IFERROR(VALUE(SUB_ALL(B273,control!$B$3:$B$4,control!$C$3:$C$4)),A272))</f>
        <v>21</v>
      </c>
    </row>
    <row r="274" spans="1:1" x14ac:dyDescent="0.35">
      <c r="A274" cm="1">
        <f t="array" ref="A274">IF(B274="",A273,IFERROR(VALUE(SUB_ALL(B274,control!$B$3:$B$4,control!$C$3:$C$4)),A273))</f>
        <v>21</v>
      </c>
    </row>
    <row r="275" spans="1:1" x14ac:dyDescent="0.35">
      <c r="A275" cm="1">
        <f t="array" ref="A275">IF(B275="",A274,IFERROR(VALUE(SUB_ALL(B275,control!$B$3:$B$4,control!$C$3:$C$4)),A274))</f>
        <v>21</v>
      </c>
    </row>
    <row r="276" spans="1:1" x14ac:dyDescent="0.35">
      <c r="A276" cm="1">
        <f t="array" ref="A276">IF(B276="",A275,IFERROR(VALUE(SUB_ALL(B276,control!$B$3:$B$4,control!$C$3:$C$4)),A275))</f>
        <v>21</v>
      </c>
    </row>
    <row r="277" spans="1:1" x14ac:dyDescent="0.35">
      <c r="A277" cm="1">
        <f t="array" ref="A277">IF(B277="",A276,IFERROR(VALUE(SUB_ALL(B277,control!$B$3:$B$4,control!$C$3:$C$4)),A276))</f>
        <v>21</v>
      </c>
    </row>
    <row r="278" spans="1:1" x14ac:dyDescent="0.35">
      <c r="A278" cm="1">
        <f t="array" ref="A278">IF(B278="",A277,IFERROR(VALUE(SUB_ALL(B278,control!$B$3:$B$4,control!$C$3:$C$4)),A277))</f>
        <v>21</v>
      </c>
    </row>
    <row r="279" spans="1:1" x14ac:dyDescent="0.35">
      <c r="A279" cm="1">
        <f t="array" ref="A279">IF(B279="",A278,IFERROR(VALUE(SUB_ALL(B279,control!$B$3:$B$4,control!$C$3:$C$4)),A278))</f>
        <v>21</v>
      </c>
    </row>
    <row r="280" spans="1:1" x14ac:dyDescent="0.35">
      <c r="A280" cm="1">
        <f t="array" ref="A280">IF(B280="",A279,IFERROR(VALUE(SUB_ALL(B280,control!$B$3:$B$4,control!$C$3:$C$4)),A279))</f>
        <v>21</v>
      </c>
    </row>
    <row r="281" spans="1:1" x14ac:dyDescent="0.35">
      <c r="A281" cm="1">
        <f t="array" ref="A281">IF(B281="",A280,IFERROR(VALUE(SUB_ALL(B281,control!$B$3:$B$4,control!$C$3:$C$4)),A280))</f>
        <v>21</v>
      </c>
    </row>
    <row r="282" spans="1:1" x14ac:dyDescent="0.35">
      <c r="A282" cm="1">
        <f t="array" ref="A282">IF(B282="",A281,IFERROR(VALUE(SUB_ALL(B282,control!$B$3:$B$4,control!$C$3:$C$4)),A281))</f>
        <v>21</v>
      </c>
    </row>
    <row r="283" spans="1:1" x14ac:dyDescent="0.35">
      <c r="A283" cm="1">
        <f t="array" ref="A283">IF(B283="",A282,IFERROR(VALUE(SUB_ALL(B283,control!$B$3:$B$4,control!$C$3:$C$4)),A282))</f>
        <v>21</v>
      </c>
    </row>
    <row r="284" spans="1:1" x14ac:dyDescent="0.35">
      <c r="A284" cm="1">
        <f t="array" ref="A284">IF(B284="",A283,IFERROR(VALUE(SUB_ALL(B284,control!$B$3:$B$4,control!$C$3:$C$4)),A283))</f>
        <v>21</v>
      </c>
    </row>
    <row r="285" spans="1:1" x14ac:dyDescent="0.35">
      <c r="A285" cm="1">
        <f t="array" ref="A285">IF(B285="",A284,IFERROR(VALUE(SUB_ALL(B285,control!$B$3:$B$4,control!$C$3:$C$4)),A284))</f>
        <v>21</v>
      </c>
    </row>
    <row r="286" spans="1:1" x14ac:dyDescent="0.35">
      <c r="A286" cm="1">
        <f t="array" ref="A286">IF(B286="",A285,IFERROR(VALUE(SUB_ALL(B286,control!$B$3:$B$4,control!$C$3:$C$4)),A285))</f>
        <v>21</v>
      </c>
    </row>
    <row r="287" spans="1:1" x14ac:dyDescent="0.35">
      <c r="A287" cm="1">
        <f t="array" ref="A287">IF(B287="",A286,IFERROR(VALUE(SUB_ALL(B287,control!$B$3:$B$4,control!$C$3:$C$4)),A286))</f>
        <v>21</v>
      </c>
    </row>
    <row r="288" spans="1:1" x14ac:dyDescent="0.35">
      <c r="A288" cm="1">
        <f t="array" ref="A288">IF(B288="",A287,IFERROR(VALUE(SUB_ALL(B288,control!$B$3:$B$4,control!$C$3:$C$4)),A287))</f>
        <v>21</v>
      </c>
    </row>
    <row r="289" spans="1:1" x14ac:dyDescent="0.35">
      <c r="A289" cm="1">
        <f t="array" ref="A289">IF(B289="",A288,IFERROR(VALUE(SUB_ALL(B289,control!$B$3:$B$4,control!$C$3:$C$4)),A288))</f>
        <v>21</v>
      </c>
    </row>
    <row r="290" spans="1:1" x14ac:dyDescent="0.35">
      <c r="A290" cm="1">
        <f t="array" ref="A290">IF(B290="",A289,IFERROR(VALUE(SUB_ALL(B290,control!$B$3:$B$4,control!$C$3:$C$4)),A289))</f>
        <v>21</v>
      </c>
    </row>
    <row r="291" spans="1:1" x14ac:dyDescent="0.35">
      <c r="A291" cm="1">
        <f t="array" ref="A291">IF(B291="",A290,IFERROR(VALUE(SUB_ALL(B291,control!$B$3:$B$4,control!$C$3:$C$4)),A290))</f>
        <v>21</v>
      </c>
    </row>
    <row r="292" spans="1:1" x14ac:dyDescent="0.35">
      <c r="A292" cm="1">
        <f t="array" ref="A292">IF(B292="",A291,IFERROR(VALUE(SUB_ALL(B292,control!$B$3:$B$4,control!$C$3:$C$4)),A291))</f>
        <v>21</v>
      </c>
    </row>
    <row r="293" spans="1:1" x14ac:dyDescent="0.35">
      <c r="A293" cm="1">
        <f t="array" ref="A293">IF(B293="",A292,IFERROR(VALUE(SUB_ALL(B293,control!$B$3:$B$4,control!$C$3:$C$4)),A292))</f>
        <v>21</v>
      </c>
    </row>
    <row r="294" spans="1:1" x14ac:dyDescent="0.35">
      <c r="A294" cm="1">
        <f t="array" ref="A294">IF(B294="",A293,IFERROR(VALUE(SUB_ALL(B294,control!$B$3:$B$4,control!$C$3:$C$4)),A293))</f>
        <v>21</v>
      </c>
    </row>
    <row r="295" spans="1:1" x14ac:dyDescent="0.35">
      <c r="A295" cm="1">
        <f t="array" ref="A295">IF(B295="",A294,IFERROR(VALUE(SUB_ALL(B295,control!$B$3:$B$4,control!$C$3:$C$4)),A294))</f>
        <v>21</v>
      </c>
    </row>
    <row r="296" spans="1:1" x14ac:dyDescent="0.35">
      <c r="A296" cm="1">
        <f t="array" ref="A296">IF(B296="",A295,IFERROR(VALUE(SUB_ALL(B296,control!$B$3:$B$4,control!$C$3:$C$4)),A295))</f>
        <v>21</v>
      </c>
    </row>
    <row r="297" spans="1:1" x14ac:dyDescent="0.35">
      <c r="A297" cm="1">
        <f t="array" ref="A297">IF(B297="",A296,IFERROR(VALUE(SUB_ALL(B297,control!$B$3:$B$4,control!$C$3:$C$4)),A296))</f>
        <v>21</v>
      </c>
    </row>
    <row r="298" spans="1:1" x14ac:dyDescent="0.35">
      <c r="A298" cm="1">
        <f t="array" ref="A298">IF(B298="",A297,IFERROR(VALUE(SUB_ALL(B298,control!$B$3:$B$4,control!$C$3:$C$4)),A297))</f>
        <v>21</v>
      </c>
    </row>
    <row r="299" spans="1:1" x14ac:dyDescent="0.35">
      <c r="A299" cm="1">
        <f t="array" ref="A299">IF(B299="",A298,IFERROR(VALUE(SUB_ALL(B299,control!$B$3:$B$4,control!$C$3:$C$4)),A298))</f>
        <v>21</v>
      </c>
    </row>
    <row r="300" spans="1:1" x14ac:dyDescent="0.35">
      <c r="A300" cm="1">
        <f t="array" ref="A300">IF(B300="",A299,IFERROR(VALUE(SUB_ALL(B300,control!$B$3:$B$4,control!$C$3:$C$4)),A299))</f>
        <v>21</v>
      </c>
    </row>
    <row r="301" spans="1:1" x14ac:dyDescent="0.35">
      <c r="A301" cm="1">
        <f t="array" ref="A301">IF(B301="",A300,IFERROR(VALUE(SUB_ALL(B301,control!$B$3:$B$4,control!$C$3:$C$4)),A300))</f>
        <v>21</v>
      </c>
    </row>
    <row r="302" spans="1:1" x14ac:dyDescent="0.35">
      <c r="A302" cm="1">
        <f t="array" ref="A302">IF(B302="",A301,IFERROR(VALUE(SUB_ALL(B302,control!$B$3:$B$4,control!$C$3:$C$4)),A301))</f>
        <v>21</v>
      </c>
    </row>
    <row r="303" spans="1:1" x14ac:dyDescent="0.35">
      <c r="A303" cm="1">
        <f t="array" ref="A303">IF(B303="",A302,IFERROR(VALUE(SUB_ALL(B303,control!$B$3:$B$4,control!$C$3:$C$4)),A302))</f>
        <v>21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docMetadata/LabelInfo.xml><?xml version="1.0" encoding="utf-8"?>
<clbl:labelList xmlns:clbl="http://schemas.microsoft.com/office/2020/mipLabelMetadata">
  <clbl:label id="{7ffb99db-04b0-4879-8e73-d3174e57b086}" enabled="1" method="Standard" siteId="{ec3c7dee-d552-494b-a393-7f941a90b985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control</vt:lpstr>
      <vt:lpstr>comment</vt:lpstr>
      <vt:lpstr>numrecs</vt:lpstr>
      <vt:lpstr>prefix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Miro Herbert</dc:creator>
  <cp:lastModifiedBy>Miro Herbert</cp:lastModifiedBy>
  <dcterms:created xsi:type="dcterms:W3CDTF">2015-06-05T18:17:20Z</dcterms:created>
  <dcterms:modified xsi:type="dcterms:W3CDTF">2024-12-04T00:02:16Z</dcterms:modified>
</cp:coreProperties>
</file>